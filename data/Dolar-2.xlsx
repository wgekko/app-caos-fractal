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u$s BLUE" sheetId="1" state="visible" r:id="rId3"/>
  </sheets>
  <definedNames>
    <definedName function="false" hidden="false" localSheetId="0" name="_xlnm.Print_Area" vbProcedure="false">'u$s BLUE'!$A$2</definedName>
    <definedName function="false" hidden="false" localSheetId="0" name="Excel_BuiltIn_Print_Area" vbProcedure="false">#REF!</definedName>
    <definedName function="false" hidden="false" localSheetId="0" name="Excel_BuiltIn__FilterDatabase" vbProcedure="false">#REF!</definedName>
    <definedName function="false" hidden="false" localSheetId="0" name="_xlnm.Print_Area_0" vbProcedure="false">#REF!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<sst xmlns="http://schemas.openxmlformats.org/spreadsheetml/2006/main" count="5" uniqueCount="5">
  <si>
    <t xml:space="preserve">FECHA</t>
  </si>
  <si>
    <t xml:space="preserve">COMPRA</t>
  </si>
  <si>
    <t xml:space="preserve">VENTA</t>
  </si>
  <si>
    <t xml:space="preserve">compra</t>
  </si>
  <si>
    <t xml:space="preserve">venta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</si>
</sst>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@"/>
    <numFmt numFmtId="166" formatCode="dd/mm/yyyy"/>
    <numFmt numFmtId="167" formatCode="General"/>
    <numFmt numFmtId="168" formatCode="0.0"/>
    <numFmt numFmtId="169" formatCode="0.00"/>
    <numFmt numFmtId="170" formatCode="[$-C0A]General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000000"/>
      <name val="Arial"/>
      <family val="2"/>
      <charset val="1"/>
    </font>
    <font>
      <b val="true"/>
      <sz val="10"/>
      <color rgb="FF808080"/>
      <name val="Inherit"/>
      <family val="0"/>
      <charset val="1"/>
    </font>
    <font>
      <sz val="10"/>
      <color rgb="FF808080"/>
      <name val="Arial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B2B2B2"/>
        <bgColor rgb="FF969696"/>
      </patternFill>
    </fill>
    <fill>
      <patternFill patternType="solid">
        <fgColor rgb="FFEEEEEE"/>
        <bgColor rgb="FFFFFFFF"/>
      </patternFill>
    </fill>
    <fill>
      <patternFill patternType="solid">
        <fgColor rgb="FFFFFFFF"/>
        <bgColor rgb="FFEEEEEE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  <border diagonalUp="false" diagonalDown="false">
      <left/>
      <right style="thin">
        <color rgb="FF666666"/>
      </right>
      <top style="thin">
        <color rgb="FF666666"/>
      </top>
      <bottom style="thin">
        <color rgb="FF666666"/>
      </bottom>
      <diagonal/>
    </border>
    <border diagonalUp="false" diagonalDown="false">
      <left style="thin">
        <color rgb="FF666666"/>
      </left>
      <right style="thin">
        <color rgb="FF666666"/>
      </right>
      <top/>
      <bottom style="thin">
        <color rgb="FF666666"/>
      </bottom>
      <diagonal/>
    </border>
    <border diagonalUp="false" diagonalDown="false">
      <left/>
      <right style="thin">
        <color rgb="FF666666"/>
      </right>
      <top/>
      <bottom style="thin">
        <color rgb="FF666666"/>
      </bottom>
      <diagonal/>
    </border>
    <border diagonalUp="false" diagonalDown="false">
      <left/>
      <right/>
      <top style="medium">
        <color rgb="FFFFFFFF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4" fillId="2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4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4" fillId="3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" fillId="3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true">
      <alignment horizontal="general" vertical="center" textRotation="0" wrapText="true" indent="0" shrinkToFit="false"/>
      <protection locked="true" hidden="false"/>
    </xf>
    <xf numFmtId="169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true" indent="0" shrinkToFit="false"/>
      <protection locked="true" hidden="false"/>
    </xf>
    <xf numFmtId="168" fontId="5" fillId="4" borderId="5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6" fontId="4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" fillId="4" borderId="5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70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2B2B2"/>
      <rgbColor rgb="FF808080"/>
      <rgbColor rgb="FF9999FF"/>
      <rgbColor rgb="FF993366"/>
      <rgbColor rgb="FFEEEEEE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hyperlink" Target="https://www.ambito.com/" TargetMode="Externa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33</xdr:row>
      <xdr:rowOff>0</xdr:rowOff>
    </xdr:from>
    <xdr:to>
      <xdr:col>0</xdr:col>
      <xdr:colOff>280080</xdr:colOff>
      <xdr:row>34</xdr:row>
      <xdr:rowOff>73080</xdr:rowOff>
    </xdr:to>
    <xdr:sp>
      <xdr:nvSpPr>
        <xdr:cNvPr id="0" name="AutoShape 1">
          <a:hlinkClick r:id="rId1"/>
        </xdr:cNvPr>
        <xdr:cNvSpPr/>
      </xdr:nvSpPr>
      <xdr:spPr>
        <a:xfrm>
          <a:off x="0" y="6621840"/>
          <a:ext cx="280080" cy="273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48576"/>
  <sheetViews>
    <sheetView showFormulas="false" showGridLines="true" showRowColHeaders="true" showZeros="true" rightToLeft="false" tabSelected="true" showOutlineSymbols="true" defaultGridColor="true" view="normal" topLeftCell="A1" colorId="64" zoomScale="125" zoomScaleNormal="125" zoomScalePageLayoutView="100" workbookViewId="0">
      <pane xSplit="1" ySplit="1" topLeftCell="B105" activePane="bottomRight" state="frozen"/>
      <selection pane="topLeft" activeCell="A1" activeCellId="0" sqref="A1"/>
      <selection pane="topRight" activeCell="B1" activeCellId="0" sqref="B1"/>
      <selection pane="bottomLeft" activeCell="A105" activeCellId="0" sqref="A105"/>
      <selection pane="bottomRight" activeCell="F122" activeCellId="0" sqref="F122"/>
    </sheetView>
  </sheetViews>
  <sheetFormatPr defaultColWidth="8.52734375" defaultRowHeight="15.8" zeroHeight="false" outlineLevelRow="0" outlineLevelCol="0"/>
  <cols>
    <col collapsed="false" customWidth="true" hidden="false" outlineLevel="0" max="1" min="1" style="1" width="11.09"/>
    <col collapsed="false" customWidth="true" hidden="false" outlineLevel="0" max="2" min="2" style="1" width="9.55"/>
    <col collapsed="false" customWidth="true" hidden="false" outlineLevel="0" max="3" min="3" style="1" width="7.71"/>
    <col collapsed="false" customWidth="true" hidden="false" outlineLevel="0" max="4" min="4" style="1" width="11.4"/>
    <col collapsed="false" customWidth="true" hidden="false" outlineLevel="0" max="5" min="5" style="1" width="12.74"/>
    <col collapsed="false" customWidth="true" hidden="false" outlineLevel="0" max="6" min="6" style="1" width="15.68"/>
    <col collapsed="false" customWidth="true" hidden="false" outlineLevel="0" max="8" min="7" style="1" width="12.52"/>
    <col collapsed="false" customWidth="true" hidden="false" outlineLevel="0" max="10" min="9" style="1" width="11.25"/>
    <col collapsed="false" customWidth="true" hidden="false" outlineLevel="0" max="16384" min="16377" style="1" width="10.16"/>
  </cols>
  <sheetData>
    <row r="1" customFormat="false" ht="15.8" hidden="false" customHeight="false" outlineLevel="0" collapsed="false">
      <c r="A1" s="2" t="s">
        <v>0</v>
      </c>
      <c r="B1" s="3" t="s">
        <v>1</v>
      </c>
      <c r="C1" s="3" t="s">
        <v>2</v>
      </c>
      <c r="D1" s="3" t="s">
        <v>3</v>
      </c>
      <c r="E1" s="2" t="s">
        <v>4</v>
      </c>
    </row>
    <row r="2" customFormat="false" ht="15.8" hidden="false" customHeight="false" outlineLevel="0" collapsed="false">
      <c r="A2" s="4" t="n">
        <v>42734</v>
      </c>
      <c r="B2" s="5" t="n">
        <v>16.47</v>
      </c>
      <c r="C2" s="5" t="n">
        <v>16.87</v>
      </c>
      <c r="D2" s="5" t="n">
        <f aca="false">+(B2+C2)/2</f>
        <v>16.67</v>
      </c>
      <c r="E2" s="6" t="n">
        <f aca="false">+C2-B2</f>
        <v>0.400000000000002</v>
      </c>
    </row>
    <row r="3" customFormat="false" ht="15.8" hidden="false" customHeight="false" outlineLevel="0" collapsed="false">
      <c r="A3" s="4" t="n">
        <v>42766</v>
      </c>
      <c r="B3" s="5" t="n">
        <v>16.24</v>
      </c>
      <c r="C3" s="5" t="n">
        <v>16.64</v>
      </c>
      <c r="D3" s="5" t="n">
        <f aca="false">+(B3+C3)/2</f>
        <v>16.44</v>
      </c>
      <c r="E3" s="6" t="n">
        <f aca="false">+C3-B3</f>
        <v>0.400000000000002</v>
      </c>
      <c r="F3" s="7" t="n">
        <f aca="false">+LN(B3/B2)*100</f>
        <v>-1.40632094560171</v>
      </c>
      <c r="G3" s="7" t="n">
        <f aca="false">+LN(C3/C2)*100</f>
        <v>-1.37274611648145</v>
      </c>
      <c r="H3" s="8" t="n">
        <v>-1.40632094560171</v>
      </c>
      <c r="I3" s="8" t="n">
        <v>-1.37274611648145</v>
      </c>
    </row>
    <row r="4" customFormat="false" ht="15.8" hidden="false" customHeight="false" outlineLevel="0" collapsed="false">
      <c r="A4" s="4" t="n">
        <v>42790</v>
      </c>
      <c r="B4" s="5" t="n">
        <v>15.88</v>
      </c>
      <c r="C4" s="5" t="n">
        <v>16.28</v>
      </c>
      <c r="D4" s="5" t="n">
        <f aca="false">+(B4+C4)/2</f>
        <v>16.08</v>
      </c>
      <c r="E4" s="6" t="n">
        <f aca="false">+C4-B4</f>
        <v>0.4</v>
      </c>
      <c r="F4" s="7" t="n">
        <f aca="false">+LN(B4/B3)*100</f>
        <v>-2.2416878914542</v>
      </c>
      <c r="G4" s="7" t="n">
        <f aca="false">+LN(C4/C3)*100</f>
        <v>-2.18720748186682</v>
      </c>
      <c r="H4" s="8" t="n">
        <v>-2.2416878914542</v>
      </c>
      <c r="I4" s="8" t="n">
        <v>-2.18720748186682</v>
      </c>
    </row>
    <row r="5" customFormat="false" ht="15.8" hidden="false" customHeight="false" outlineLevel="0" collapsed="false">
      <c r="A5" s="4" t="n">
        <v>42825</v>
      </c>
      <c r="B5" s="5" t="n">
        <v>15.58</v>
      </c>
      <c r="C5" s="5" t="n">
        <v>15.98</v>
      </c>
      <c r="D5" s="5" t="n">
        <f aca="false">+(B5+C5)/2</f>
        <v>15.78</v>
      </c>
      <c r="E5" s="6" t="n">
        <f aca="false">+C5-B5</f>
        <v>0.4</v>
      </c>
      <c r="F5" s="7" t="n">
        <f aca="false">+LN(B5/B4)*100</f>
        <v>-1.90724153763875</v>
      </c>
      <c r="G5" s="7" t="n">
        <f aca="false">+LN(C5/C4)*100</f>
        <v>-1.85994202362656</v>
      </c>
      <c r="H5" s="8" t="n">
        <v>-1.90724153763875</v>
      </c>
      <c r="I5" s="8" t="n">
        <v>-1.85994202362656</v>
      </c>
    </row>
    <row r="6" customFormat="false" ht="15.8" hidden="false" customHeight="false" outlineLevel="0" collapsed="false">
      <c r="A6" s="4" t="n">
        <v>42853</v>
      </c>
      <c r="B6" s="5" t="n">
        <v>15.59</v>
      </c>
      <c r="C6" s="5" t="n">
        <v>15.99</v>
      </c>
      <c r="D6" s="5" t="n">
        <f aca="false">+(B6+C6)/2</f>
        <v>15.79</v>
      </c>
      <c r="E6" s="6" t="n">
        <f aca="false">+C6-B6</f>
        <v>0.4</v>
      </c>
      <c r="F6" s="7" t="n">
        <f aca="false">+LN(B6/B5)*100</f>
        <v>0.064164262708304</v>
      </c>
      <c r="G6" s="7" t="n">
        <f aca="false">+LN(C6/C5)*100</f>
        <v>0.0625586507734168</v>
      </c>
      <c r="H6" s="8" t="n">
        <v>0.064164262708304</v>
      </c>
      <c r="I6" s="8" t="n">
        <v>0.0625586507734168</v>
      </c>
    </row>
    <row r="7" customFormat="false" ht="15.8" hidden="false" customHeight="false" outlineLevel="0" collapsed="false">
      <c r="A7" s="9" t="n">
        <v>42886</v>
      </c>
      <c r="B7" s="10" t="n">
        <v>15.99</v>
      </c>
      <c r="C7" s="10" t="n">
        <v>16.39</v>
      </c>
      <c r="D7" s="10" t="n">
        <f aca="false">+(B7+C7)/2</f>
        <v>16.19</v>
      </c>
      <c r="E7" s="11" t="n">
        <f aca="false">+C7-B7</f>
        <v>0.4</v>
      </c>
      <c r="F7" s="7" t="n">
        <f aca="false">+LN(B7/B6)*100</f>
        <v>2.53338437761777</v>
      </c>
      <c r="G7" s="7" t="n">
        <f aca="false">+LN(C7/C6)*100</f>
        <v>2.47078659098754</v>
      </c>
      <c r="H7" s="8" t="n">
        <v>2.53338437761777</v>
      </c>
      <c r="I7" s="8" t="n">
        <v>2.47078659098754</v>
      </c>
    </row>
    <row r="8" customFormat="false" ht="15.8" hidden="false" customHeight="false" outlineLevel="0" collapsed="false">
      <c r="A8" s="4" t="n">
        <v>42916</v>
      </c>
      <c r="B8" s="5" t="n">
        <v>16.44</v>
      </c>
      <c r="C8" s="5" t="n">
        <v>16.84</v>
      </c>
      <c r="D8" s="5" t="n">
        <f aca="false">+(B8+C8)/2</f>
        <v>16.64</v>
      </c>
      <c r="E8" s="6" t="n">
        <f aca="false">+C8-B8</f>
        <v>0.399999999999999</v>
      </c>
      <c r="F8" s="7" t="n">
        <f aca="false">+LN(B8/B7)*100</f>
        <v>2.77538627821711</v>
      </c>
      <c r="G8" s="7" t="n">
        <f aca="false">+LN(C8/C7)*100</f>
        <v>2.70856160584423</v>
      </c>
      <c r="H8" s="8" t="n">
        <v>2.77538627821711</v>
      </c>
      <c r="I8" s="8" t="n">
        <v>2.70856160584423</v>
      </c>
    </row>
    <row r="9" customFormat="false" ht="15.8" hidden="false" customHeight="false" outlineLevel="0" collapsed="false">
      <c r="A9" s="9" t="n">
        <v>42947</v>
      </c>
      <c r="B9" s="10" t="n">
        <v>17.65</v>
      </c>
      <c r="C9" s="10" t="n">
        <v>18.09</v>
      </c>
      <c r="D9" s="10" t="n">
        <f aca="false">+(B9+C9)/2</f>
        <v>17.87</v>
      </c>
      <c r="E9" s="11" t="n">
        <f aca="false">+C9-B9</f>
        <v>0.440000000000001</v>
      </c>
      <c r="F9" s="7" t="n">
        <f aca="false">+LN(B9/B8)*100</f>
        <v>7.10183937512719</v>
      </c>
      <c r="G9" s="7" t="n">
        <f aca="false">+LN(C9/C8)*100</f>
        <v>7.16022905930232</v>
      </c>
      <c r="H9" s="8" t="n">
        <v>7.10183937512719</v>
      </c>
      <c r="I9" s="8" t="n">
        <v>7.16022905930232</v>
      </c>
    </row>
    <row r="10" customFormat="false" ht="15.8" hidden="false" customHeight="false" outlineLevel="0" collapsed="false">
      <c r="A10" s="9" t="n">
        <v>42978</v>
      </c>
      <c r="B10" s="10" t="n">
        <v>17.83</v>
      </c>
      <c r="C10" s="10" t="n">
        <v>18.23</v>
      </c>
      <c r="D10" s="10" t="n">
        <f aca="false">+(B10+C10)/2</f>
        <v>18.03</v>
      </c>
      <c r="E10" s="11" t="n">
        <f aca="false">+C10-B10</f>
        <v>0.400000000000002</v>
      </c>
      <c r="F10" s="7" t="n">
        <f aca="false">+LN(B10/B9)*100</f>
        <v>1.01466484957433</v>
      </c>
      <c r="G10" s="7" t="n">
        <f aca="false">+LN(C10/C9)*100</f>
        <v>0.770928928336787</v>
      </c>
      <c r="H10" s="8" t="n">
        <v>1.01466484957433</v>
      </c>
      <c r="I10" s="8" t="n">
        <v>0.770928928336787</v>
      </c>
    </row>
    <row r="11" customFormat="false" ht="15.8" hidden="false" customHeight="false" outlineLevel="0" collapsed="false">
      <c r="A11" s="4" t="n">
        <v>43007</v>
      </c>
      <c r="B11" s="5" t="n">
        <v>17.51</v>
      </c>
      <c r="C11" s="5" t="n">
        <v>17.91</v>
      </c>
      <c r="D11" s="5" t="n">
        <f aca="false">+(B11+C11)/2</f>
        <v>17.71</v>
      </c>
      <c r="E11" s="6" t="n">
        <f aca="false">+C11-B11</f>
        <v>0.399999999999999</v>
      </c>
      <c r="F11" s="7" t="n">
        <f aca="false">+LN(B11/B10)*100</f>
        <v>-1.81102855772884</v>
      </c>
      <c r="G11" s="7" t="n">
        <f aca="false">+LN(C11/C10)*100</f>
        <v>-1.77093726179513</v>
      </c>
      <c r="H11" s="8" t="n">
        <v>-1.81102855772884</v>
      </c>
      <c r="I11" s="8" t="n">
        <v>-1.77093726179513</v>
      </c>
    </row>
    <row r="12" customFormat="false" ht="15.8" hidden="false" customHeight="false" outlineLevel="0" collapsed="false">
      <c r="A12" s="9" t="n">
        <v>43039</v>
      </c>
      <c r="B12" s="10" t="n">
        <v>17.7</v>
      </c>
      <c r="C12" s="10" t="n">
        <v>18.1</v>
      </c>
      <c r="D12" s="10" t="n">
        <f aca="false">+(B12+C12)/2</f>
        <v>17.9</v>
      </c>
      <c r="E12" s="11" t="n">
        <f aca="false">+C12-B12</f>
        <v>0.400000000000002</v>
      </c>
      <c r="F12" s="7" t="n">
        <f aca="false">+LN(B12/B11)*100</f>
        <v>1.07924932820228</v>
      </c>
      <c r="G12" s="7" t="n">
        <f aca="false">+LN(C12/C11)*100</f>
        <v>1.05527221991597</v>
      </c>
      <c r="H12" s="8" t="n">
        <v>1.07924932820228</v>
      </c>
      <c r="I12" s="8" t="n">
        <v>1.05527221991597</v>
      </c>
    </row>
    <row r="13" customFormat="false" ht="15.8" hidden="false" customHeight="false" outlineLevel="0" collapsed="false">
      <c r="A13" s="9" t="n">
        <v>43069</v>
      </c>
      <c r="B13" s="10" t="n">
        <v>17.56</v>
      </c>
      <c r="C13" s="10" t="n">
        <v>17.96</v>
      </c>
      <c r="D13" s="10" t="n">
        <f aca="false">+(B13+C13)/2</f>
        <v>17.76</v>
      </c>
      <c r="E13" s="11" t="n">
        <f aca="false">+C13-B13</f>
        <v>0.400000000000002</v>
      </c>
      <c r="F13" s="7" t="n">
        <f aca="false">+LN(B13/B12)*100</f>
        <v>-0.794105137281292</v>
      </c>
      <c r="G13" s="7" t="n">
        <f aca="false">+LN(C13/C12)*100</f>
        <v>-0.776487539772654</v>
      </c>
      <c r="H13" s="8" t="n">
        <v>-0.794105137281292</v>
      </c>
      <c r="I13" s="8" t="n">
        <v>-0.776487539772654</v>
      </c>
    </row>
    <row r="14" customFormat="false" ht="15.8" hidden="false" customHeight="false" outlineLevel="0" collapsed="false">
      <c r="A14" s="4" t="n">
        <v>43098</v>
      </c>
      <c r="B14" s="5" t="n">
        <v>18.88</v>
      </c>
      <c r="C14" s="5" t="n">
        <v>19.28</v>
      </c>
      <c r="D14" s="5" t="n">
        <f aca="false">+(B14+C14)/2</f>
        <v>19.08</v>
      </c>
      <c r="E14" s="6" t="n">
        <f aca="false">+C14-B14</f>
        <v>0.400000000000002</v>
      </c>
      <c r="F14" s="7" t="n">
        <f aca="false">+LN(B14/B13)*100</f>
        <v>7.24795725103841</v>
      </c>
      <c r="G14" s="7" t="n">
        <f aca="false">+LN(C14/C13)*100</f>
        <v>7.0921226308346</v>
      </c>
      <c r="H14" s="8" t="n">
        <v>7.24795725103841</v>
      </c>
      <c r="I14" s="8" t="n">
        <v>7.0921226308346</v>
      </c>
    </row>
    <row r="15" customFormat="false" ht="15.8" hidden="false" customHeight="false" outlineLevel="0" collapsed="false">
      <c r="A15" s="4" t="n">
        <v>43131</v>
      </c>
      <c r="B15" s="5" t="n">
        <v>19.55</v>
      </c>
      <c r="C15" s="5" t="n">
        <v>19.95</v>
      </c>
      <c r="D15" s="5" t="n">
        <f aca="false">+(B15+C15)/2</f>
        <v>19.75</v>
      </c>
      <c r="E15" s="6" t="n">
        <f aca="false">+C15-B15</f>
        <v>0.399999999999999</v>
      </c>
      <c r="F15" s="7" t="n">
        <f aca="false">+LN(B15/B14)*100</f>
        <v>3.48721257140201</v>
      </c>
      <c r="G15" s="7" t="n">
        <f aca="false">+LN(C15/C14)*100</f>
        <v>3.41608541534728</v>
      </c>
      <c r="H15" s="8" t="n">
        <v>3.48721257140201</v>
      </c>
      <c r="I15" s="8" t="n">
        <v>3.41608541534728</v>
      </c>
    </row>
    <row r="16" customFormat="false" ht="15.8" hidden="false" customHeight="false" outlineLevel="0" collapsed="false">
      <c r="A16" s="9" t="n">
        <v>43159</v>
      </c>
      <c r="B16" s="10" t="n">
        <v>19.95</v>
      </c>
      <c r="C16" s="10" t="n">
        <v>20.35</v>
      </c>
      <c r="D16" s="10" t="n">
        <f aca="false">+(B16+C16)/2</f>
        <v>20.15</v>
      </c>
      <c r="E16" s="11" t="n">
        <f aca="false">+C16-B16</f>
        <v>0.400000000000002</v>
      </c>
      <c r="F16" s="7" t="n">
        <f aca="false">+LN(B16/B15)*100</f>
        <v>2.02538569044976</v>
      </c>
      <c r="G16" s="7" t="n">
        <f aca="false">+LN(C16/C15)*100</f>
        <v>1.98517685527315</v>
      </c>
      <c r="H16" s="8" t="n">
        <v>2.02538569044976</v>
      </c>
      <c r="I16" s="8" t="n">
        <v>1.98517685527315</v>
      </c>
    </row>
    <row r="17" customFormat="false" ht="15.8" hidden="false" customHeight="false" outlineLevel="0" collapsed="false">
      <c r="A17" s="9" t="n">
        <v>43187</v>
      </c>
      <c r="B17" s="10" t="n">
        <v>20.36</v>
      </c>
      <c r="C17" s="10" t="n">
        <v>20.76</v>
      </c>
      <c r="D17" s="10" t="n">
        <f aca="false">+(B17+C17)/2</f>
        <v>20.56</v>
      </c>
      <c r="E17" s="11" t="n">
        <f aca="false">+C17-B17</f>
        <v>0.400000000000002</v>
      </c>
      <c r="F17" s="7" t="n">
        <f aca="false">+LN(B17/B16)*100</f>
        <v>2.03430483464496</v>
      </c>
      <c r="G17" s="7" t="n">
        <f aca="false">+LN(C17/C16)*100</f>
        <v>1.99471464090839</v>
      </c>
      <c r="H17" s="8" t="n">
        <v>2.03430483464496</v>
      </c>
      <c r="I17" s="8" t="n">
        <v>1.99471464090839</v>
      </c>
    </row>
    <row r="18" customFormat="false" ht="15.8" hidden="false" customHeight="false" outlineLevel="0" collapsed="false">
      <c r="A18" s="4" t="n">
        <v>43217</v>
      </c>
      <c r="B18" s="5" t="n">
        <v>20.6</v>
      </c>
      <c r="C18" s="5" t="n">
        <v>21</v>
      </c>
      <c r="D18" s="5" t="n">
        <f aca="false">+(B18+C18)/2</f>
        <v>20.8</v>
      </c>
      <c r="E18" s="6" t="n">
        <f aca="false">+C18-B18</f>
        <v>0.399999999999999</v>
      </c>
      <c r="F18" s="7" t="n">
        <f aca="false">+LN(B18/B17)*100</f>
        <v>1.17188841132135</v>
      </c>
      <c r="G18" s="7" t="n">
        <f aca="false">+LN(C18/C17)*100</f>
        <v>1.1494379425735</v>
      </c>
      <c r="H18" s="8" t="n">
        <v>1.17188841132135</v>
      </c>
      <c r="I18" s="8" t="n">
        <v>1.1494379425735</v>
      </c>
    </row>
    <row r="19" customFormat="false" ht="15.8" hidden="false" customHeight="false" outlineLevel="0" collapsed="false">
      <c r="A19" s="9" t="n">
        <v>43251</v>
      </c>
      <c r="B19" s="10" t="n">
        <v>25.17</v>
      </c>
      <c r="C19" s="10" t="n">
        <v>25.97</v>
      </c>
      <c r="D19" s="10" t="n">
        <f aca="false">+(B19+C19)/2</f>
        <v>25.57</v>
      </c>
      <c r="E19" s="11" t="n">
        <f aca="false">+C19-B19</f>
        <v>0.799999999999997</v>
      </c>
      <c r="F19" s="7" t="n">
        <f aca="false">+LN(B19/B18)*100</f>
        <v>20.0361733351689</v>
      </c>
      <c r="G19" s="7" t="n">
        <f aca="false">+LN(C19/C18)*100</f>
        <v>21.2419587951234</v>
      </c>
      <c r="H19" s="8" t="n">
        <v>20.0361733351689</v>
      </c>
      <c r="I19" s="8" t="n">
        <v>21.2419587951234</v>
      </c>
    </row>
    <row r="20" customFormat="false" ht="15.8" hidden="false" customHeight="false" outlineLevel="0" collapsed="false">
      <c r="A20" s="9" t="n">
        <v>43280</v>
      </c>
      <c r="B20" s="10" t="n">
        <v>28.4</v>
      </c>
      <c r="C20" s="10" t="n">
        <v>29.4</v>
      </c>
      <c r="D20" s="10" t="n">
        <f aca="false">+(B20+C20)/2</f>
        <v>28.9</v>
      </c>
      <c r="E20" s="11" t="n">
        <f aca="false">+C20-B20</f>
        <v>1</v>
      </c>
      <c r="F20" s="7" t="n">
        <f aca="false">+LN(B20/B19)*100</f>
        <v>12.0736336019936</v>
      </c>
      <c r="G20" s="7" t="n">
        <f aca="false">+LN(C20/C19)*100</f>
        <v>12.4052648669979</v>
      </c>
      <c r="H20" s="8" t="n">
        <v>12.0736336019936</v>
      </c>
      <c r="I20" s="8" t="n">
        <v>12.4052648669979</v>
      </c>
    </row>
    <row r="21" customFormat="false" ht="15.8" hidden="false" customHeight="false" outlineLevel="0" collapsed="false">
      <c r="A21" s="4" t="n">
        <v>43312</v>
      </c>
      <c r="B21" s="5" t="n">
        <v>27.45</v>
      </c>
      <c r="C21" s="5" t="n">
        <v>28.45</v>
      </c>
      <c r="D21" s="5" t="n">
        <f aca="false">+(B21+C21)/2</f>
        <v>27.95</v>
      </c>
      <c r="E21" s="6" t="n">
        <f aca="false">+C21-B21</f>
        <v>1</v>
      </c>
      <c r="F21" s="7" t="n">
        <f aca="false">+LN(B21/B20)*100</f>
        <v>-3.40229772116207</v>
      </c>
      <c r="G21" s="7" t="n">
        <f aca="false">+LN(C21/C20)*100</f>
        <v>-3.2846513772296</v>
      </c>
      <c r="H21" s="8" t="n">
        <v>-3.40229772116207</v>
      </c>
      <c r="I21" s="8" t="n">
        <v>-3.2846513772296</v>
      </c>
    </row>
    <row r="22" customFormat="false" ht="15.8" hidden="false" customHeight="false" outlineLevel="0" collapsed="false">
      <c r="A22" s="4" t="n">
        <v>43343</v>
      </c>
      <c r="B22" s="5" t="n">
        <v>36</v>
      </c>
      <c r="C22" s="5" t="n">
        <v>38</v>
      </c>
      <c r="D22" s="5" t="n">
        <f aca="false">+(B22+C22)/2</f>
        <v>37</v>
      </c>
      <c r="E22" s="6" t="n">
        <f aca="false">+C22-B22</f>
        <v>2</v>
      </c>
      <c r="F22" s="7" t="n">
        <f aca="false">+LN(B22/B21)*100</f>
        <v>27.115277050057</v>
      </c>
      <c r="G22" s="7" t="n">
        <f aca="false">+LN(C22/C21)*100</f>
        <v>28.9437999154046</v>
      </c>
      <c r="H22" s="8" t="n">
        <v>27.115277050057</v>
      </c>
      <c r="I22" s="8" t="n">
        <v>28.9437999154046</v>
      </c>
    </row>
    <row r="23" customFormat="false" ht="15.8" hidden="false" customHeight="false" outlineLevel="0" collapsed="false">
      <c r="A23" s="4" t="n">
        <v>43371</v>
      </c>
      <c r="B23" s="5" t="n">
        <v>39.3</v>
      </c>
      <c r="C23" s="5" t="n">
        <v>41.3</v>
      </c>
      <c r="D23" s="5" t="n">
        <f aca="false">+(B23+C23)/2</f>
        <v>40.3</v>
      </c>
      <c r="E23" s="6" t="n">
        <f aca="false">+C23-B23</f>
        <v>2</v>
      </c>
      <c r="F23" s="7" t="n">
        <f aca="false">+LN(B23/B22)*100</f>
        <v>8.77055804191055</v>
      </c>
      <c r="G23" s="7" t="n">
        <f aca="false">+LN(C23/C22)*100</f>
        <v>8.32763402406012</v>
      </c>
      <c r="H23" s="8" t="n">
        <v>8.77055804191055</v>
      </c>
      <c r="I23" s="8" t="n">
        <v>8.32763402406012</v>
      </c>
    </row>
    <row r="24" customFormat="false" ht="15.8" hidden="false" customHeight="false" outlineLevel="0" collapsed="false">
      <c r="A24" s="4" t="n">
        <v>43404</v>
      </c>
      <c r="B24" s="5" t="n">
        <v>34.5</v>
      </c>
      <c r="C24" s="5" t="n">
        <v>36.5</v>
      </c>
      <c r="D24" s="5" t="n">
        <f aca="false">+(B24+C24)/2</f>
        <v>35.5</v>
      </c>
      <c r="E24" s="6" t="n">
        <f aca="false">+C24-B24</f>
        <v>2</v>
      </c>
      <c r="F24" s="7" t="n">
        <f aca="false">+LN(B24/B23)*100</f>
        <v>-13.0265194837901</v>
      </c>
      <c r="G24" s="7" t="n">
        <f aca="false">+LN(C24/C23)*100</f>
        <v>-12.3550239378541</v>
      </c>
      <c r="H24" s="8" t="n">
        <v>-13.0265194837901</v>
      </c>
      <c r="I24" s="8" t="n">
        <v>-12.3550239378541</v>
      </c>
    </row>
    <row r="25" customFormat="false" ht="15.8" hidden="false" customHeight="false" outlineLevel="0" collapsed="false">
      <c r="A25" s="9" t="n">
        <v>43433</v>
      </c>
      <c r="B25" s="10" t="n">
        <v>36</v>
      </c>
      <c r="C25" s="10" t="n">
        <v>38</v>
      </c>
      <c r="D25" s="10" t="n">
        <f aca="false">+(B25+C25)/2</f>
        <v>37</v>
      </c>
      <c r="E25" s="11" t="n">
        <f aca="false">+C25-B25</f>
        <v>2</v>
      </c>
      <c r="F25" s="7" t="n">
        <f aca="false">+LN(B25/B24)*100</f>
        <v>4.25596144187959</v>
      </c>
      <c r="G25" s="7" t="n">
        <f aca="false">+LN(C25/C24)*100</f>
        <v>4.02738991379399</v>
      </c>
      <c r="H25" s="8" t="n">
        <v>4.25596144187959</v>
      </c>
      <c r="I25" s="8" t="n">
        <v>4.02738991379399</v>
      </c>
    </row>
    <row r="26" customFormat="false" ht="15.8" hidden="false" customHeight="false" outlineLevel="0" collapsed="false">
      <c r="A26" s="9" t="n">
        <v>43462</v>
      </c>
      <c r="B26" s="10" t="n">
        <v>38.5</v>
      </c>
      <c r="C26" s="10" t="n">
        <v>40.5</v>
      </c>
      <c r="D26" s="10" t="n">
        <f aca="false">+(B26+C26)/2</f>
        <v>39.5</v>
      </c>
      <c r="E26" s="11" t="n">
        <f aca="false">+C26-B26</f>
        <v>2</v>
      </c>
      <c r="F26" s="7" t="n">
        <f aca="false">+LN(B26/B25)*100</f>
        <v>6.71393028376285</v>
      </c>
      <c r="G26" s="7" t="n">
        <f aca="false">+LN(C26/C25)*100</f>
        <v>6.37158143861078</v>
      </c>
      <c r="H26" s="8" t="n">
        <v>6.71393028376285</v>
      </c>
      <c r="I26" s="8" t="n">
        <v>6.37158143861078</v>
      </c>
    </row>
    <row r="27" customFormat="false" ht="15.8" hidden="false" customHeight="false" outlineLevel="0" collapsed="false">
      <c r="A27" s="9" t="n">
        <v>43496</v>
      </c>
      <c r="B27" s="10" t="n">
        <v>35.5</v>
      </c>
      <c r="C27" s="10" t="n">
        <v>37.5</v>
      </c>
      <c r="D27" s="10" t="n">
        <f aca="false">+(B27+C27)/2</f>
        <v>36.5</v>
      </c>
      <c r="E27" s="11" t="n">
        <f aca="false">+C27-B27</f>
        <v>2</v>
      </c>
      <c r="F27" s="7" t="n">
        <f aca="false">+LN(B27/B26)*100</f>
        <v>-8.11255448123685</v>
      </c>
      <c r="G27" s="7" t="n">
        <f aca="false">+LN(C27/C26)*100</f>
        <v>-7.69610411361283</v>
      </c>
      <c r="H27" s="8" t="n">
        <v>-8.11255448123685</v>
      </c>
      <c r="I27" s="8" t="n">
        <v>-7.69610411361283</v>
      </c>
    </row>
    <row r="28" customFormat="false" ht="15.8" hidden="false" customHeight="false" outlineLevel="0" collapsed="false">
      <c r="A28" s="9" t="n">
        <v>43524</v>
      </c>
      <c r="B28" s="10" t="n">
        <v>38</v>
      </c>
      <c r="C28" s="10" t="n">
        <v>39</v>
      </c>
      <c r="D28" s="10" t="n">
        <f aca="false">+(B28+C28)/2</f>
        <v>38.5</v>
      </c>
      <c r="E28" s="11" t="n">
        <f aca="false">+C28-B28</f>
        <v>1</v>
      </c>
      <c r="F28" s="7" t="n">
        <f aca="false">+LN(B28/B27)*100</f>
        <v>6.80534632450156</v>
      </c>
      <c r="G28" s="7" t="n">
        <f aca="false">+LN(C28/C27)*100</f>
        <v>3.92207131532813</v>
      </c>
      <c r="H28" s="8" t="n">
        <v>6.80534632450156</v>
      </c>
      <c r="I28" s="8" t="n">
        <v>3.92207131532813</v>
      </c>
    </row>
    <row r="29" customFormat="false" ht="15.8" hidden="false" customHeight="false" outlineLevel="0" collapsed="false">
      <c r="A29" s="4" t="n">
        <v>43553</v>
      </c>
      <c r="B29" s="5" t="n">
        <v>42.65</v>
      </c>
      <c r="C29" s="5" t="n">
        <v>43.65</v>
      </c>
      <c r="D29" s="5" t="n">
        <f aca="false">+(B29+C29)/2</f>
        <v>43.15</v>
      </c>
      <c r="E29" s="6" t="n">
        <f aca="false">+C29-B29</f>
        <v>1</v>
      </c>
      <c r="F29" s="7" t="n">
        <f aca="false">+LN(B29/B28)*100</f>
        <v>11.5441114211302</v>
      </c>
      <c r="G29" s="7" t="n">
        <f aca="false">+LN(C29/C28)*100</f>
        <v>11.2641636155965</v>
      </c>
      <c r="H29" s="8" t="n">
        <v>11.5441114211302</v>
      </c>
      <c r="I29" s="8" t="n">
        <v>11.2641636155965</v>
      </c>
    </row>
    <row r="30" customFormat="false" ht="15.8" hidden="false" customHeight="false" outlineLevel="0" collapsed="false">
      <c r="A30" s="9" t="n">
        <v>43585</v>
      </c>
      <c r="B30" s="10" t="n">
        <v>45</v>
      </c>
      <c r="C30" s="10" t="n">
        <v>46</v>
      </c>
      <c r="D30" s="10" t="n">
        <f aca="false">+(B30+C30)/2</f>
        <v>45.5</v>
      </c>
      <c r="E30" s="11" t="n">
        <f aca="false">+C30-B30</f>
        <v>1</v>
      </c>
      <c r="F30" s="7" t="n">
        <f aca="false">+LN(B30/B29)*100</f>
        <v>5.36352158326318</v>
      </c>
      <c r="G30" s="7" t="n">
        <f aca="false">+LN(C30/C29)*100</f>
        <v>5.24381142034838</v>
      </c>
      <c r="H30" s="8" t="n">
        <v>5.36352158326318</v>
      </c>
      <c r="I30" s="8" t="n">
        <v>5.24381142034838</v>
      </c>
    </row>
    <row r="31" customFormat="false" ht="15.8" hidden="false" customHeight="false" outlineLevel="0" collapsed="false">
      <c r="A31" s="9" t="n">
        <v>43616</v>
      </c>
      <c r="B31" s="10" t="n">
        <v>44.5</v>
      </c>
      <c r="C31" s="10" t="n">
        <v>46</v>
      </c>
      <c r="D31" s="10" t="n">
        <v>46</v>
      </c>
      <c r="E31" s="11" t="n">
        <f aca="false">+C31-B31</f>
        <v>1.5</v>
      </c>
      <c r="F31" s="7" t="n">
        <f aca="false">+LN(B31/B30)*100</f>
        <v>-1.11733005981252</v>
      </c>
      <c r="G31" s="7" t="n">
        <f aca="false">+LN(C31/C30)*100</f>
        <v>0</v>
      </c>
      <c r="H31" s="8" t="n">
        <v>-1.11733005981252</v>
      </c>
      <c r="I31" s="8" t="n">
        <v>0</v>
      </c>
    </row>
    <row r="32" customFormat="false" ht="15.8" hidden="false" customHeight="false" outlineLevel="0" collapsed="false">
      <c r="A32" s="9" t="n">
        <v>43644</v>
      </c>
      <c r="B32" s="10" t="n">
        <v>42.3</v>
      </c>
      <c r="C32" s="10" t="n">
        <v>43.8</v>
      </c>
      <c r="D32" s="10" t="n">
        <f aca="false">+(B32+C32)/2</f>
        <v>43.05</v>
      </c>
      <c r="E32" s="11" t="n">
        <f aca="false">+C32-B32</f>
        <v>1.5</v>
      </c>
      <c r="F32" s="7" t="n">
        <f aca="false">+LN(B32/B31)*100</f>
        <v>-5.07021031199623</v>
      </c>
      <c r="G32" s="7" t="n">
        <f aca="false">+LN(C32/C31)*100</f>
        <v>-4.90075791066946</v>
      </c>
      <c r="H32" s="8" t="n">
        <v>-5.07021031199623</v>
      </c>
      <c r="I32" s="8" t="n">
        <v>-4.90075791066946</v>
      </c>
    </row>
    <row r="33" customFormat="false" ht="15.8" hidden="false" customHeight="false" outlineLevel="0" collapsed="false">
      <c r="A33" s="4" t="n">
        <v>43677</v>
      </c>
      <c r="B33" s="5" t="n">
        <v>43.7</v>
      </c>
      <c r="C33" s="5" t="n">
        <v>45.2</v>
      </c>
      <c r="D33" s="5" t="n">
        <f aca="false">+(B33+C33)/2</f>
        <v>44.45</v>
      </c>
      <c r="E33" s="6" t="n">
        <f aca="false">+C33-B33</f>
        <v>1.5</v>
      </c>
      <c r="F33" s="7" t="n">
        <f aca="false">+LN(B33/B32)*100</f>
        <v>3.25610160493122</v>
      </c>
      <c r="G33" s="7" t="n">
        <f aca="false">+LN(C33/C32)*100</f>
        <v>3.14632694557851</v>
      </c>
      <c r="H33" s="8" t="n">
        <v>3.25610160493122</v>
      </c>
      <c r="I33" s="8" t="n">
        <v>3.14632694557851</v>
      </c>
    </row>
    <row r="34" customFormat="false" ht="15.8" hidden="false" customHeight="false" outlineLevel="0" collapsed="false">
      <c r="A34" s="9" t="n">
        <v>43707</v>
      </c>
      <c r="B34" s="10" t="n">
        <v>60</v>
      </c>
      <c r="C34" s="10" t="n">
        <v>63</v>
      </c>
      <c r="D34" s="10" t="n">
        <f aca="false">+(B34+C34)/2</f>
        <v>61.5</v>
      </c>
      <c r="E34" s="11" t="n">
        <f aca="false">+C34-B34</f>
        <v>3</v>
      </c>
      <c r="F34" s="7" t="n">
        <f aca="false">+LN(B34/B33)*100</f>
        <v>31.6996460120556</v>
      </c>
      <c r="G34" s="7" t="n">
        <f aca="false">+LN(C34/C33)*100</f>
        <v>33.2037639553347</v>
      </c>
      <c r="H34" s="12" t="n">
        <v>31.6996460120556</v>
      </c>
      <c r="I34" s="12" t="n">
        <v>33.2037639553347</v>
      </c>
    </row>
    <row r="35" customFormat="false" ht="15.8" hidden="false" customHeight="false" outlineLevel="0" collapsed="false">
      <c r="A35" s="4" t="n">
        <v>43738</v>
      </c>
      <c r="B35" s="5" t="n">
        <v>58.25</v>
      </c>
      <c r="C35" s="5" t="n">
        <v>61.25</v>
      </c>
      <c r="D35" s="5" t="n">
        <f aca="false">+(B35+C35)/2</f>
        <v>59.75</v>
      </c>
      <c r="E35" s="6" t="n">
        <f aca="false">+C35-B35</f>
        <v>3</v>
      </c>
      <c r="F35" s="7" t="n">
        <f aca="false">+LN(B35/B34)*100</f>
        <v>-2.96004697762907</v>
      </c>
      <c r="G35" s="7" t="n">
        <f aca="false">+LN(C35/C34)*100</f>
        <v>-2.81708769666963</v>
      </c>
      <c r="H35" s="12" t="n">
        <v>-2.96004697762907</v>
      </c>
      <c r="I35" s="12" t="n">
        <v>-2.81708769666963</v>
      </c>
    </row>
    <row r="36" customFormat="false" ht="15.8" hidden="false" customHeight="false" outlineLevel="0" collapsed="false">
      <c r="A36" s="4" t="n">
        <v>43769</v>
      </c>
      <c r="B36" s="5" t="n">
        <v>66</v>
      </c>
      <c r="C36" s="5" t="n">
        <v>69</v>
      </c>
      <c r="D36" s="5" t="n">
        <f aca="false">+(B36+C36)/2</f>
        <v>67.5</v>
      </c>
      <c r="E36" s="6" t="n">
        <f aca="false">+C36-B36</f>
        <v>3</v>
      </c>
      <c r="F36" s="7" t="n">
        <f aca="false">+LN(B36/B35)*100</f>
        <v>12.4910649580616</v>
      </c>
      <c r="G36" s="7" t="n">
        <f aca="false">+LN(C36/C35)*100</f>
        <v>11.9142655172423</v>
      </c>
      <c r="H36" s="12" t="n">
        <v>12.4910649580616</v>
      </c>
      <c r="I36" s="12" t="n">
        <v>11.9142655172423</v>
      </c>
    </row>
    <row r="37" customFormat="false" ht="15.8" hidden="false" customHeight="false" outlineLevel="0" collapsed="false">
      <c r="A37" s="4" t="n">
        <v>43798</v>
      </c>
      <c r="B37" s="5" t="n">
        <v>66.25</v>
      </c>
      <c r="C37" s="5" t="n">
        <v>69.25</v>
      </c>
      <c r="D37" s="5" t="n">
        <f aca="false">+(B37+C37)/2</f>
        <v>67.75</v>
      </c>
      <c r="E37" s="6" t="n">
        <f aca="false">+C37-B37</f>
        <v>3</v>
      </c>
      <c r="F37" s="7" t="n">
        <f aca="false">+LN(B37/B36)*100</f>
        <v>0.378072283990615</v>
      </c>
      <c r="G37" s="7" t="n">
        <f aca="false">+LN(C37/C36)*100</f>
        <v>0.361664047018851</v>
      </c>
      <c r="H37" s="12" t="n">
        <v>0.378072283990615</v>
      </c>
      <c r="I37" s="12" t="n">
        <v>0.361664047018851</v>
      </c>
    </row>
    <row r="38" customFormat="false" ht="15.8" hidden="false" customHeight="false" outlineLevel="0" collapsed="false">
      <c r="A38" s="9" t="n">
        <v>43829</v>
      </c>
      <c r="B38" s="10" t="n">
        <v>73.5</v>
      </c>
      <c r="C38" s="10" t="n">
        <v>78.5</v>
      </c>
      <c r="D38" s="10" t="n">
        <f aca="false">+(B38+C38)/2</f>
        <v>76</v>
      </c>
      <c r="E38" s="11" t="n">
        <f aca="false">+C38-B38</f>
        <v>5</v>
      </c>
      <c r="F38" s="7" t="n">
        <f aca="false">+LN(B38/B37)*100</f>
        <v>10.3849941352459</v>
      </c>
      <c r="G38" s="7" t="n">
        <f aca="false">+LN(C38/C37)*100</f>
        <v>12.5375479720915</v>
      </c>
      <c r="H38" s="12" t="n">
        <v>10.3849941352459</v>
      </c>
      <c r="I38" s="12" t="n">
        <v>12.5375479720915</v>
      </c>
      <c r="J38" s="13"/>
      <c r="K38" s="13"/>
    </row>
    <row r="39" customFormat="false" ht="15.8" hidden="false" customHeight="false" outlineLevel="0" collapsed="false">
      <c r="A39" s="9" t="n">
        <v>43861</v>
      </c>
      <c r="B39" s="10" t="n">
        <v>74</v>
      </c>
      <c r="C39" s="10" t="n">
        <v>78</v>
      </c>
      <c r="D39" s="10" t="n">
        <f aca="false">+(B39+C39)/2</f>
        <v>76</v>
      </c>
      <c r="E39" s="11" t="n">
        <f aca="false">+C39-B39</f>
        <v>4</v>
      </c>
      <c r="F39" s="7" t="n">
        <f aca="false">+LN(B39/B38)*100</f>
        <v>0.677968698537877</v>
      </c>
      <c r="G39" s="7" t="n">
        <f aca="false">+LN(C39/C38)*100</f>
        <v>-0.638979809877101</v>
      </c>
      <c r="H39" s="12" t="n">
        <v>0.677968698537877</v>
      </c>
      <c r="I39" s="12" t="n">
        <v>-0.638979809877101</v>
      </c>
    </row>
    <row r="40" customFormat="false" ht="15.8" hidden="false" customHeight="false" outlineLevel="0" collapsed="false">
      <c r="A40" s="9" t="n">
        <v>43889</v>
      </c>
      <c r="B40" s="10" t="n">
        <v>74.5</v>
      </c>
      <c r="C40" s="10" t="n">
        <v>78.5</v>
      </c>
      <c r="D40" s="10" t="n">
        <f aca="false">+(B40+C40)/2</f>
        <v>76.5</v>
      </c>
      <c r="E40" s="11" t="n">
        <f aca="false">+C40-B40</f>
        <v>4</v>
      </c>
      <c r="F40" s="7" t="n">
        <f aca="false">+LN(B40/B39)*100</f>
        <v>0.673403218134412</v>
      </c>
      <c r="G40" s="7" t="n">
        <f aca="false">+LN(C40/C39)*100</f>
        <v>0.638979809877099</v>
      </c>
      <c r="H40" s="12" t="n">
        <v>0.673403218134412</v>
      </c>
      <c r="I40" s="12" t="n">
        <v>0.638979809877099</v>
      </c>
    </row>
    <row r="41" customFormat="false" ht="15.8" hidden="false" customHeight="false" outlineLevel="0" collapsed="false">
      <c r="A41" s="4" t="n">
        <v>43920</v>
      </c>
      <c r="B41" s="5" t="n">
        <v>78.5</v>
      </c>
      <c r="C41" s="5" t="n">
        <v>83.5</v>
      </c>
      <c r="D41" s="5" t="n">
        <f aca="false">+(B41+C41)/2</f>
        <v>81</v>
      </c>
      <c r="E41" s="6" t="n">
        <f aca="false">+C41-B41</f>
        <v>5</v>
      </c>
      <c r="F41" s="7" t="n">
        <f aca="false">+LN(B41/B40)*100</f>
        <v>5.22994994028488</v>
      </c>
      <c r="G41" s="7" t="n">
        <f aca="false">+LN(C41/C40)*100</f>
        <v>6.1748007068447</v>
      </c>
      <c r="H41" s="12" t="n">
        <v>5.22994994028488</v>
      </c>
      <c r="I41" s="8" t="n">
        <v>6.1748007068447</v>
      </c>
    </row>
    <row r="42" customFormat="false" ht="15.8" hidden="false" customHeight="false" outlineLevel="0" collapsed="false">
      <c r="A42" s="4" t="n">
        <v>43951</v>
      </c>
      <c r="B42" s="5" t="n">
        <v>108</v>
      </c>
      <c r="C42" s="5" t="n">
        <v>118</v>
      </c>
      <c r="D42" s="5" t="n">
        <f aca="false">+(B42+C42)/2</f>
        <v>113</v>
      </c>
      <c r="E42" s="6" t="n">
        <f aca="false">+C42-B42</f>
        <v>10</v>
      </c>
      <c r="F42" s="7" t="n">
        <f aca="false">+LN(B42/B41)*100</f>
        <v>31.9032602335857</v>
      </c>
      <c r="G42" s="7" t="n">
        <f aca="false">+LN(C42/C41)*100</f>
        <v>34.5837992608855</v>
      </c>
      <c r="H42" s="12" t="n">
        <v>31.9032602335857</v>
      </c>
      <c r="I42" s="8" t="n">
        <v>34.5837992608855</v>
      </c>
    </row>
    <row r="43" customFormat="false" ht="15.8" hidden="false" customHeight="false" outlineLevel="0" collapsed="false">
      <c r="A43" s="9" t="n">
        <v>43980</v>
      </c>
      <c r="B43" s="10" t="n">
        <v>115</v>
      </c>
      <c r="C43" s="10" t="n">
        <v>125</v>
      </c>
      <c r="D43" s="10" t="n">
        <f aca="false">+(B43+C43)/2</f>
        <v>120</v>
      </c>
      <c r="E43" s="11" t="n">
        <f aca="false">+C43-B43</f>
        <v>10</v>
      </c>
      <c r="F43" s="7" t="n">
        <f aca="false">+LN(B43/B42)*100</f>
        <v>6.28009012390304</v>
      </c>
      <c r="G43" s="7" t="n">
        <f aca="false">+LN(C43/C42)*100</f>
        <v>5.76291128366364</v>
      </c>
      <c r="H43" s="12" t="n">
        <v>6.28009012390304</v>
      </c>
      <c r="I43" s="8" t="n">
        <v>5.76291128366364</v>
      </c>
    </row>
    <row r="44" customFormat="false" ht="15.8" hidden="false" customHeight="false" outlineLevel="0" collapsed="false">
      <c r="A44" s="4" t="n">
        <v>44012</v>
      </c>
      <c r="B44" s="5" t="n">
        <v>116</v>
      </c>
      <c r="C44" s="5" t="n">
        <v>126</v>
      </c>
      <c r="D44" s="5" t="n">
        <f aca="false">+(B44+C44)/2</f>
        <v>121</v>
      </c>
      <c r="E44" s="6" t="n">
        <f aca="false">+C44-B44</f>
        <v>10</v>
      </c>
      <c r="F44" s="7" t="n">
        <f aca="false">+LN(B44/B43)*100</f>
        <v>0.865806274311453</v>
      </c>
      <c r="G44" s="7" t="n">
        <f aca="false">+LN(C44/C43)*100</f>
        <v>0.796816964917688</v>
      </c>
      <c r="H44" s="12" t="n">
        <v>0.865806274311453</v>
      </c>
      <c r="I44" s="12" t="n">
        <v>0.796816964917688</v>
      </c>
    </row>
    <row r="45" customFormat="false" ht="15.8" hidden="false" customHeight="false" outlineLevel="0" collapsed="false">
      <c r="A45" s="4" t="n">
        <v>44043</v>
      </c>
      <c r="B45" s="5" t="n">
        <v>131</v>
      </c>
      <c r="C45" s="5" t="n">
        <v>136</v>
      </c>
      <c r="D45" s="5" t="n">
        <f aca="false">+(B45+C45)/2</f>
        <v>133.5</v>
      </c>
      <c r="E45" s="6" t="n">
        <f aca="false">+C45-B45</f>
        <v>5</v>
      </c>
      <c r="F45" s="7" t="n">
        <f aca="false">+LN(B45/B44)*100</f>
        <v>12.1607132094787</v>
      </c>
      <c r="G45" s="7" t="n">
        <f aca="false">+LN(C45/C44)*100</f>
        <v>7.6372978784574</v>
      </c>
      <c r="H45" s="12" t="n">
        <v>12.1607132094787</v>
      </c>
      <c r="I45" s="12" t="n">
        <v>7.6372978784574</v>
      </c>
    </row>
    <row r="46" customFormat="false" ht="15.8" hidden="false" customHeight="false" outlineLevel="0" collapsed="false">
      <c r="A46" s="9" t="n">
        <v>44074</v>
      </c>
      <c r="B46" s="10" t="n">
        <v>131</v>
      </c>
      <c r="C46" s="10" t="n">
        <v>135</v>
      </c>
      <c r="D46" s="10" t="n">
        <f aca="false">+(B46+C46)/2</f>
        <v>133</v>
      </c>
      <c r="E46" s="11" t="n">
        <f aca="false">+C46-B46</f>
        <v>4</v>
      </c>
      <c r="F46" s="7" t="n">
        <f aca="false">+LN(B46/B45)*100</f>
        <v>0</v>
      </c>
      <c r="G46" s="7" t="n">
        <f aca="false">+LN(C46/C45)*100</f>
        <v>-0.738010729762253</v>
      </c>
      <c r="H46" s="12" t="n">
        <v>0</v>
      </c>
      <c r="I46" s="12" t="n">
        <v>-0.738010729762253</v>
      </c>
    </row>
    <row r="47" customFormat="false" ht="15.8" hidden="false" customHeight="false" outlineLevel="0" collapsed="false">
      <c r="A47" s="9" t="n">
        <v>44104</v>
      </c>
      <c r="B47" s="10" t="n">
        <v>140</v>
      </c>
      <c r="C47" s="10" t="n">
        <v>146</v>
      </c>
      <c r="D47" s="10" t="n">
        <f aca="false">+(B47+C47)/2</f>
        <v>143</v>
      </c>
      <c r="E47" s="11" t="n">
        <f aca="false">+C47-B47</f>
        <v>6</v>
      </c>
      <c r="F47" s="7" t="n">
        <f aca="false">+LN(B47/B46)*100</f>
        <v>6.64450994081528</v>
      </c>
      <c r="G47" s="7" t="n">
        <f aca="false">+LN(C47/C46)*100</f>
        <v>7.8331843269907</v>
      </c>
      <c r="H47" s="8" t="n">
        <v>6.64450994081528</v>
      </c>
      <c r="I47" s="8" t="n">
        <v>7.8331843269907</v>
      </c>
    </row>
    <row r="48" customFormat="false" ht="15.8" hidden="false" customHeight="false" outlineLevel="0" collapsed="false">
      <c r="A48" s="4" t="n">
        <v>44134</v>
      </c>
      <c r="B48" s="5" t="n">
        <v>163</v>
      </c>
      <c r="C48" s="5" t="n">
        <v>169</v>
      </c>
      <c r="D48" s="5" t="n">
        <f aca="false">+(B48+C48)/2</f>
        <v>166</v>
      </c>
      <c r="E48" s="6" t="n">
        <f aca="false">+C48-B48</f>
        <v>6</v>
      </c>
      <c r="F48" s="7" t="n">
        <f aca="false">+LN(B48/B47)*100</f>
        <v>15.2107778197458</v>
      </c>
      <c r="G48" s="7" t="n">
        <f aca="false">+LN(C48/C47)*100</f>
        <v>14.6292093214737</v>
      </c>
      <c r="H48" s="8" t="n">
        <v>15.2107778197458</v>
      </c>
      <c r="I48" s="8" t="n">
        <v>14.6292093214737</v>
      </c>
    </row>
    <row r="49" customFormat="false" ht="15.8" hidden="false" customHeight="false" outlineLevel="0" collapsed="false">
      <c r="A49" s="4" t="n">
        <v>44165</v>
      </c>
      <c r="B49" s="5" t="n">
        <v>149</v>
      </c>
      <c r="C49" s="5" t="n">
        <v>155</v>
      </c>
      <c r="D49" s="5" t="n">
        <f aca="false">+(B49+C49)/2</f>
        <v>152</v>
      </c>
      <c r="E49" s="6" t="n">
        <f aca="false">+C49-B49</f>
        <v>6</v>
      </c>
      <c r="F49" s="7" t="n">
        <f aca="false">+LN(B49/B48)*100</f>
        <v>-8.98038948613031</v>
      </c>
      <c r="G49" s="7" t="n">
        <f aca="false">+LN(C49/C48)*100</f>
        <v>-8.64735980038268</v>
      </c>
      <c r="H49" s="8" t="n">
        <v>-8.98038948613031</v>
      </c>
      <c r="I49" s="8" t="n">
        <v>-8.64735980038268</v>
      </c>
    </row>
    <row r="50" customFormat="false" ht="15.8" hidden="false" customHeight="false" outlineLevel="0" collapsed="false">
      <c r="A50" s="4" t="n">
        <v>44195</v>
      </c>
      <c r="B50" s="5" t="n">
        <v>160</v>
      </c>
      <c r="C50" s="5" t="n">
        <v>166</v>
      </c>
      <c r="D50" s="5" t="n">
        <f aca="false">+(B50+C50)/2</f>
        <v>163</v>
      </c>
      <c r="E50" s="6" t="n">
        <f aca="false">+C50-B50</f>
        <v>6</v>
      </c>
      <c r="F50" s="7" t="n">
        <f aca="false">+LN(B50/B49)*100</f>
        <v>7.12275092883678</v>
      </c>
      <c r="G50" s="7" t="n">
        <f aca="false">+LN(C50/C49)*100</f>
        <v>6.85626714372967</v>
      </c>
      <c r="H50" s="8" t="n">
        <v>7.12275092883678</v>
      </c>
      <c r="I50" s="8" t="n">
        <v>6.85626714372967</v>
      </c>
    </row>
    <row r="51" customFormat="false" ht="15.8" hidden="false" customHeight="false" outlineLevel="0" collapsed="false">
      <c r="A51" s="4" t="n">
        <v>44225</v>
      </c>
      <c r="B51" s="5" t="n">
        <v>148</v>
      </c>
      <c r="C51" s="5" t="n">
        <v>153</v>
      </c>
      <c r="D51" s="5" t="n">
        <f aca="false">+(B51+C51)/2</f>
        <v>150.5</v>
      </c>
      <c r="E51" s="6" t="n">
        <f aca="false">+C51-B51</f>
        <v>5</v>
      </c>
      <c r="F51" s="7" t="n">
        <f aca="false">+LN(B51/B50)*100</f>
        <v>-7.79615414697118</v>
      </c>
      <c r="G51" s="7" t="n">
        <f aca="false">+LN(C51/C50)*100</f>
        <v>-8.15498669641077</v>
      </c>
      <c r="H51" s="8" t="n">
        <v>-7.79615414697118</v>
      </c>
      <c r="I51" s="8" t="n">
        <v>-8.15498669641077</v>
      </c>
    </row>
    <row r="52" customFormat="false" ht="15.8" hidden="false" customHeight="false" outlineLevel="0" collapsed="false">
      <c r="A52" s="4" t="n">
        <v>44253</v>
      </c>
      <c r="B52" s="5" t="n">
        <v>141</v>
      </c>
      <c r="C52" s="5" t="n">
        <v>146</v>
      </c>
      <c r="D52" s="5" t="n">
        <f aca="false">+(B52+C52)/2</f>
        <v>143.5</v>
      </c>
      <c r="E52" s="6" t="n">
        <f aca="false">+C52-B52</f>
        <v>5</v>
      </c>
      <c r="F52" s="7" t="n">
        <f aca="false">+LN(B52/B51)*100</f>
        <v>-4.84523833859467</v>
      </c>
      <c r="G52" s="7" t="n">
        <f aca="false">+LN(C52/C51)*100</f>
        <v>-4.6831299684099</v>
      </c>
      <c r="H52" s="8" t="n">
        <v>-4.84523833859467</v>
      </c>
      <c r="I52" s="8" t="n">
        <v>-4.6831299684099</v>
      </c>
    </row>
    <row r="53" customFormat="false" ht="15.8" hidden="false" customHeight="false" outlineLevel="0" collapsed="false">
      <c r="A53" s="4" t="n">
        <v>44286</v>
      </c>
      <c r="B53" s="5" t="n">
        <v>136</v>
      </c>
      <c r="C53" s="5" t="n">
        <v>141</v>
      </c>
      <c r="D53" s="5" t="n">
        <f aca="false">+(B53+C53)/2</f>
        <v>138.5</v>
      </c>
      <c r="E53" s="6" t="n">
        <f aca="false">+C53-B53</f>
        <v>5</v>
      </c>
      <c r="F53" s="7" t="n">
        <f aca="false">+LN(B53/B52)*100</f>
        <v>-3.61050046421163</v>
      </c>
      <c r="G53" s="7" t="n">
        <f aca="false">+LN(C53/C52)*100</f>
        <v>-3.48467313301682</v>
      </c>
      <c r="H53" s="8" t="n">
        <v>-3.61050046421163</v>
      </c>
      <c r="I53" s="8" t="n">
        <v>-3.48467313301682</v>
      </c>
    </row>
    <row r="54" customFormat="false" ht="15.8" hidden="false" customHeight="false" outlineLevel="0" collapsed="false">
      <c r="A54" s="4" t="n">
        <v>44316</v>
      </c>
      <c r="B54" s="5" t="n">
        <v>145</v>
      </c>
      <c r="C54" s="5" t="n">
        <v>150</v>
      </c>
      <c r="D54" s="5" t="n">
        <f aca="false">+(B54+C54)/2</f>
        <v>147.5</v>
      </c>
      <c r="E54" s="6" t="n">
        <f aca="false">+C54-B54</f>
        <v>5</v>
      </c>
      <c r="F54" s="7" t="n">
        <f aca="false">+LN(B54/B53)*100</f>
        <v>6.40788566845224</v>
      </c>
      <c r="G54" s="7" t="n">
        <f aca="false">+LN(C54/C53)*100</f>
        <v>6.18754037180875</v>
      </c>
      <c r="H54" s="8" t="n">
        <v>6.40788566845224</v>
      </c>
      <c r="I54" s="8" t="n">
        <v>6.18754037180875</v>
      </c>
    </row>
    <row r="55" customFormat="false" ht="15.8" hidden="false" customHeight="false" outlineLevel="0" collapsed="false">
      <c r="A55" s="9" t="n">
        <v>44347</v>
      </c>
      <c r="B55" s="10" t="n">
        <v>152</v>
      </c>
      <c r="C55" s="10" t="n">
        <v>157</v>
      </c>
      <c r="D55" s="10" t="n">
        <f aca="false">+(B55+C55)/2</f>
        <v>154.5</v>
      </c>
      <c r="E55" s="11" t="n">
        <f aca="false">+C55-B55</f>
        <v>5</v>
      </c>
      <c r="F55" s="7" t="n">
        <f aca="false">+LN(B55/B54)*100</f>
        <v>4.71467784257021</v>
      </c>
      <c r="G55" s="7" t="n">
        <f aca="false">+LN(C55/C54)*100</f>
        <v>4.56105112520523</v>
      </c>
      <c r="H55" s="12" t="n">
        <v>4.71467784257021</v>
      </c>
      <c r="I55" s="8" t="n">
        <v>4.56105112520523</v>
      </c>
    </row>
    <row r="56" customFormat="false" ht="15.8" hidden="false" customHeight="false" outlineLevel="0" collapsed="false">
      <c r="A56" s="9" t="n">
        <v>44377</v>
      </c>
      <c r="B56" s="10" t="n">
        <v>163</v>
      </c>
      <c r="C56" s="10" t="n">
        <v>168</v>
      </c>
      <c r="D56" s="10" t="n">
        <f aca="false">+(B56+C56)/2</f>
        <v>165.5</v>
      </c>
      <c r="E56" s="11" t="n">
        <f aca="false">+C56-B56</f>
        <v>5</v>
      </c>
      <c r="F56" s="7" t="n">
        <f aca="false">+LN(B56/B55)*100</f>
        <v>6.9869679960486</v>
      </c>
      <c r="G56" s="7" t="n">
        <f aca="false">+LN(C56/C55)*100</f>
        <v>6.77181740549509</v>
      </c>
      <c r="H56" s="12" t="n">
        <v>6.9869679960486</v>
      </c>
      <c r="I56" s="8" t="n">
        <v>6.77181740549509</v>
      </c>
    </row>
    <row r="57" customFormat="false" ht="15.8" hidden="false" customHeight="false" outlineLevel="0" collapsed="false">
      <c r="A57" s="4" t="n">
        <v>44407</v>
      </c>
      <c r="B57" s="5" t="n">
        <v>175.5</v>
      </c>
      <c r="C57" s="5" t="n">
        <v>180.5</v>
      </c>
      <c r="D57" s="5" t="n">
        <f aca="false">+(B57+C57)/2</f>
        <v>178</v>
      </c>
      <c r="E57" s="6" t="n">
        <f aca="false">+C57-B57</f>
        <v>5</v>
      </c>
      <c r="F57" s="7" t="n">
        <f aca="false">+LN(B57/B56)*100</f>
        <v>7.38888420991582</v>
      </c>
      <c r="G57" s="7" t="n">
        <f aca="false">+LN(C57/C56)*100</f>
        <v>7.17667983696766</v>
      </c>
      <c r="H57" s="12" t="n">
        <v>7.38888420991582</v>
      </c>
      <c r="I57" s="12" t="n">
        <v>7.17667983696766</v>
      </c>
      <c r="J57" s="14"/>
    </row>
    <row r="58" customFormat="false" ht="15.8" hidden="false" customHeight="false" outlineLevel="0" collapsed="false">
      <c r="A58" s="9" t="n">
        <v>44439</v>
      </c>
      <c r="B58" s="10" t="n">
        <v>176.5</v>
      </c>
      <c r="C58" s="10" t="n">
        <v>181.5</v>
      </c>
      <c r="D58" s="10" t="n">
        <f aca="false">+(B58+C58)/2</f>
        <v>179</v>
      </c>
      <c r="E58" s="11" t="n">
        <f aca="false">+C58-B58</f>
        <v>5</v>
      </c>
      <c r="F58" s="7" t="n">
        <f aca="false">+LN(B58/B57)*100</f>
        <v>0.568183346743086</v>
      </c>
      <c r="G58" s="7" t="n">
        <f aca="false">+LN(C58/C57)*100</f>
        <v>0.552487593196981</v>
      </c>
      <c r="H58" s="8" t="n">
        <v>0.568183346743086</v>
      </c>
      <c r="I58" s="8" t="n">
        <v>0.552487593196981</v>
      </c>
    </row>
    <row r="59" customFormat="false" ht="15.8" hidden="false" customHeight="false" outlineLevel="0" collapsed="false">
      <c r="A59" s="9" t="n">
        <v>44469</v>
      </c>
      <c r="B59" s="10" t="n">
        <v>182</v>
      </c>
      <c r="C59" s="10" t="n">
        <v>186</v>
      </c>
      <c r="D59" s="10" t="n">
        <f aca="false">+(B59+C59)/2</f>
        <v>184</v>
      </c>
      <c r="E59" s="11" t="n">
        <f aca="false">+C59-B59</f>
        <v>4</v>
      </c>
      <c r="F59" s="7" t="n">
        <f aca="false">+LN(B59/B58)*100</f>
        <v>3.06858107034439</v>
      </c>
      <c r="G59" s="7" t="n">
        <f aca="false">+LN(C59/C58)*100</f>
        <v>2.44910200082957</v>
      </c>
      <c r="H59" s="8" t="n">
        <v>3.06858107034439</v>
      </c>
      <c r="I59" s="8" t="n">
        <v>2.44910200082957</v>
      </c>
    </row>
    <row r="60" customFormat="false" ht="15.8" hidden="false" customHeight="false" outlineLevel="0" collapsed="false">
      <c r="A60" s="4" t="n">
        <v>44498</v>
      </c>
      <c r="B60" s="5" t="n">
        <v>193.5</v>
      </c>
      <c r="C60" s="5" t="n">
        <v>197.5</v>
      </c>
      <c r="D60" s="5" t="n">
        <f aca="false">+(B60+C60)/2</f>
        <v>195.5</v>
      </c>
      <c r="E60" s="6" t="n">
        <f aca="false">+C60-B60</f>
        <v>4</v>
      </c>
      <c r="F60" s="7" t="n">
        <f aca="false">+LN(B60/B59)*100</f>
        <v>6.12708253930411</v>
      </c>
      <c r="G60" s="7" t="n">
        <f aca="false">+LN(C60/C59)*100</f>
        <v>5.99919106279753</v>
      </c>
      <c r="H60" s="8" t="n">
        <v>6.12708253930411</v>
      </c>
      <c r="I60" s="8" t="n">
        <v>5.99919106279753</v>
      </c>
    </row>
    <row r="61" customFormat="false" ht="15.8" hidden="false" customHeight="false" outlineLevel="0" collapsed="false">
      <c r="A61" s="9" t="n">
        <v>44530</v>
      </c>
      <c r="B61" s="10" t="n">
        <v>197.5</v>
      </c>
      <c r="C61" s="10" t="n">
        <v>201.5</v>
      </c>
      <c r="D61" s="10" t="n">
        <f aca="false">+(B61+C61)/2</f>
        <v>199.5</v>
      </c>
      <c r="E61" s="11" t="n">
        <f aca="false">+C61-B61</f>
        <v>4</v>
      </c>
      <c r="F61" s="7" t="n">
        <f aca="false">+LN(B61/B60)*100</f>
        <v>2.046107187134</v>
      </c>
      <c r="G61" s="7" t="n">
        <f aca="false">+LN(C61/C60)*100</f>
        <v>2.00507970455612</v>
      </c>
      <c r="H61" s="12" t="n">
        <v>2.046107187134</v>
      </c>
      <c r="I61" s="12" t="n">
        <v>2.00507970455612</v>
      </c>
    </row>
    <row r="62" customFormat="false" ht="15.8" hidden="false" customHeight="false" outlineLevel="0" collapsed="false">
      <c r="A62" s="9" t="n">
        <v>44561</v>
      </c>
      <c r="B62" s="10" t="n">
        <v>204</v>
      </c>
      <c r="C62" s="10" t="n">
        <v>208</v>
      </c>
      <c r="D62" s="10" t="n">
        <f aca="false">+(B62+C62)/2</f>
        <v>206</v>
      </c>
      <c r="E62" s="11" t="n">
        <f aca="false">+C62-B62</f>
        <v>4</v>
      </c>
      <c r="F62" s="7" t="n">
        <f aca="false">+LN(B62/B61)*100</f>
        <v>3.23814095030398</v>
      </c>
      <c r="G62" s="7" t="n">
        <f aca="false">+LN(C62/C61)*100</f>
        <v>3.17486983145803</v>
      </c>
      <c r="H62" s="8" t="n">
        <v>3.23814095030398</v>
      </c>
      <c r="I62" s="8" t="n">
        <v>3.17486983145803</v>
      </c>
    </row>
    <row r="63" customFormat="false" ht="15.8" hidden="false" customHeight="false" outlineLevel="0" collapsed="false">
      <c r="A63" s="4" t="n">
        <v>44592</v>
      </c>
      <c r="B63" s="5" t="n">
        <v>209</v>
      </c>
      <c r="C63" s="5" t="n">
        <v>213</v>
      </c>
      <c r="D63" s="5" t="n">
        <f aca="false">+(B63+C63)/2</f>
        <v>211</v>
      </c>
      <c r="E63" s="6" t="n">
        <f aca="false">+C63-B63</f>
        <v>4</v>
      </c>
      <c r="F63" s="7" t="n">
        <f aca="false">+LN(B63/B62)*100</f>
        <v>2.42142581205945</v>
      </c>
      <c r="G63" s="7" t="n">
        <f aca="false">+LN(C63/C62)*100</f>
        <v>2.37540860081071</v>
      </c>
      <c r="H63" s="8" t="n">
        <v>2.42142581205945</v>
      </c>
      <c r="I63" s="8" t="n">
        <v>2.37540860081071</v>
      </c>
    </row>
    <row r="64" customFormat="false" ht="15.8" hidden="false" customHeight="false" outlineLevel="0" collapsed="false">
      <c r="A64" s="9" t="n">
        <v>44617</v>
      </c>
      <c r="B64" s="10" t="n">
        <v>207</v>
      </c>
      <c r="C64" s="10" t="n">
        <v>211</v>
      </c>
      <c r="D64" s="10" t="n">
        <f aca="false">+(B64+C64)/2</f>
        <v>209</v>
      </c>
      <c r="E64" s="11" t="n">
        <f aca="false">+C64-B64</f>
        <v>4</v>
      </c>
      <c r="F64" s="7" t="n">
        <f aca="false">+LN(B64/B63)*100</f>
        <v>-0.961545869944198</v>
      </c>
      <c r="G64" s="7" t="n">
        <f aca="false">+LN(C64/C63)*100</f>
        <v>-0.943403223335864</v>
      </c>
      <c r="H64" s="8" t="n">
        <v>-0.961545869944198</v>
      </c>
      <c r="I64" s="8" t="n">
        <v>-0.943403223335864</v>
      </c>
    </row>
    <row r="65" customFormat="false" ht="15.8" hidden="false" customHeight="false" outlineLevel="0" collapsed="false">
      <c r="A65" s="4" t="n">
        <v>44651</v>
      </c>
      <c r="B65" s="5" t="n">
        <v>197</v>
      </c>
      <c r="C65" s="5" t="n">
        <v>201</v>
      </c>
      <c r="D65" s="5" t="n">
        <f aca="false">+(B65+C65)/2</f>
        <v>199</v>
      </c>
      <c r="E65" s="6" t="n">
        <f aca="false">+C65-B65</f>
        <v>4</v>
      </c>
      <c r="F65" s="7" t="n">
        <f aca="false">+LN(B65/B64)*100</f>
        <v>-4.95150645273806</v>
      </c>
      <c r="G65" s="7" t="n">
        <f aca="false">+LN(C65/C64)*100</f>
        <v>-4.85532254169908</v>
      </c>
      <c r="H65" s="8" t="n">
        <v>-4.95150645273806</v>
      </c>
      <c r="I65" s="8" t="n">
        <v>-4.85532254169908</v>
      </c>
    </row>
    <row r="66" customFormat="false" ht="15.8" hidden="false" customHeight="false" outlineLevel="0" collapsed="false">
      <c r="A66" s="9" t="n">
        <v>44680</v>
      </c>
      <c r="B66" s="10" t="n">
        <v>196.5</v>
      </c>
      <c r="C66" s="10" t="n">
        <v>200.5</v>
      </c>
      <c r="D66" s="10" t="n">
        <f aca="false">+(B66+C66)/2</f>
        <v>198.5</v>
      </c>
      <c r="E66" s="11" t="n">
        <f aca="false">+C66-B66</f>
        <v>4</v>
      </c>
      <c r="F66" s="7" t="n">
        <f aca="false">+LN(B66/B65)*100</f>
        <v>-0.254129742867253</v>
      </c>
      <c r="G66" s="7" t="n">
        <f aca="false">+LN(C66/C65)*100</f>
        <v>-0.249066131245192</v>
      </c>
      <c r="H66" s="8" t="n">
        <v>-0.254129742867253</v>
      </c>
      <c r="I66" s="8" t="n">
        <v>-0.249066131245192</v>
      </c>
    </row>
    <row r="67" customFormat="false" ht="15.8" hidden="false" customHeight="false" outlineLevel="0" collapsed="false">
      <c r="A67" s="9" t="n">
        <v>44712</v>
      </c>
      <c r="B67" s="10" t="n">
        <v>202.5</v>
      </c>
      <c r="C67" s="10" t="n">
        <v>206.5</v>
      </c>
      <c r="D67" s="10" t="n">
        <f aca="false">+(B67+C67)/2</f>
        <v>204.5</v>
      </c>
      <c r="E67" s="11" t="n">
        <f aca="false">+C67-B67</f>
        <v>4</v>
      </c>
      <c r="F67" s="7" t="n">
        <f aca="false">+LN(B67/B66)*100</f>
        <v>3.0077455237278</v>
      </c>
      <c r="G67" s="7" t="n">
        <f aca="false">+LN(C67/C66)*100</f>
        <v>2.94861656544635</v>
      </c>
      <c r="H67" s="8" t="n">
        <v>3.0077455237278</v>
      </c>
      <c r="I67" s="8" t="n">
        <v>2.94861656544635</v>
      </c>
    </row>
    <row r="68" customFormat="false" ht="15.8" hidden="false" customHeight="false" outlineLevel="0" collapsed="false">
      <c r="A68" s="9" t="n">
        <v>44742</v>
      </c>
      <c r="B68" s="10" t="n">
        <v>234</v>
      </c>
      <c r="C68" s="10" t="n">
        <v>238</v>
      </c>
      <c r="D68" s="10" t="n">
        <f aca="false">+(B68+C68)/2</f>
        <v>236</v>
      </c>
      <c r="E68" s="11" t="n">
        <f aca="false">+C68-B68</f>
        <v>4</v>
      </c>
      <c r="F68" s="7" t="n">
        <f aca="false">+LN(B68/B67)*100</f>
        <v>14.4581228811108</v>
      </c>
      <c r="G68" s="7" t="n">
        <f aca="false">+LN(C68/C67)*100</f>
        <v>14.1970261270387</v>
      </c>
      <c r="H68" s="8" t="n">
        <v>14.4581228811108</v>
      </c>
      <c r="I68" s="8" t="n">
        <v>14.1970261270387</v>
      </c>
    </row>
    <row r="69" customFormat="false" ht="15.8" hidden="false" customHeight="false" outlineLevel="0" collapsed="false">
      <c r="A69" s="4" t="n">
        <v>44771</v>
      </c>
      <c r="B69" s="5" t="n">
        <v>286</v>
      </c>
      <c r="C69" s="5" t="n">
        <v>296</v>
      </c>
      <c r="D69" s="5" t="n">
        <f aca="false">+(B69+C69)/2</f>
        <v>291</v>
      </c>
      <c r="E69" s="6" t="n">
        <f aca="false">+C69-B69</f>
        <v>10</v>
      </c>
      <c r="F69" s="7" t="n">
        <f aca="false">+LN(B69/B68)*100</f>
        <v>20.0670695462151</v>
      </c>
      <c r="G69" s="7" t="n">
        <f aca="false">+LN(C69/C68)*100</f>
        <v>21.8088780652586</v>
      </c>
      <c r="H69" s="8" t="n">
        <v>20.0670695462151</v>
      </c>
      <c r="I69" s="8" t="n">
        <v>21.8088780652586</v>
      </c>
    </row>
    <row r="70" customFormat="false" ht="15.8" hidden="false" customHeight="false" outlineLevel="0" collapsed="false">
      <c r="A70" s="4" t="n">
        <v>44804</v>
      </c>
      <c r="B70" s="5" t="n">
        <v>285</v>
      </c>
      <c r="C70" s="5" t="n">
        <v>290</v>
      </c>
      <c r="D70" s="5" t="n">
        <f aca="false">+(B70+C70)/2</f>
        <v>287.5</v>
      </c>
      <c r="E70" s="6" t="n">
        <f aca="false">+C70-B70</f>
        <v>5</v>
      </c>
      <c r="F70" s="7" t="n">
        <f aca="false">+LN(B70/B69)*100</f>
        <v>-0.350263055120211</v>
      </c>
      <c r="G70" s="7" t="n">
        <f aca="false">+LN(C70/C69)*100</f>
        <v>-2.04785313435407</v>
      </c>
      <c r="H70" s="8" t="n">
        <v>-0.350263055120211</v>
      </c>
      <c r="I70" s="8" t="n">
        <v>-2.04785313435407</v>
      </c>
    </row>
    <row r="71" customFormat="false" ht="15.8" hidden="false" customHeight="false" outlineLevel="0" collapsed="false">
      <c r="A71" s="4" t="n">
        <v>44834</v>
      </c>
      <c r="B71" s="5" t="n">
        <v>284</v>
      </c>
      <c r="C71" s="5" t="n">
        <v>288</v>
      </c>
      <c r="D71" s="5" t="n">
        <f aca="false">+(B71+C71)/2</f>
        <v>286</v>
      </c>
      <c r="E71" s="6" t="n">
        <f aca="false">+C71-B71</f>
        <v>4</v>
      </c>
      <c r="F71" s="7" t="n">
        <f aca="false">+LN(B71/B70)*100</f>
        <v>-0.35149421074445</v>
      </c>
      <c r="G71" s="7" t="n">
        <f aca="false">+LN(C71/C70)*100</f>
        <v>-0.69204428445738</v>
      </c>
      <c r="H71" s="8" t="n">
        <v>-0.35149421074445</v>
      </c>
      <c r="I71" s="8" t="n">
        <v>-0.69204428445738</v>
      </c>
    </row>
    <row r="72" customFormat="false" ht="15.8" hidden="false" customHeight="false" outlineLevel="0" collapsed="false">
      <c r="A72" s="9" t="n">
        <v>44865</v>
      </c>
      <c r="B72" s="10" t="n">
        <v>286</v>
      </c>
      <c r="C72" s="10" t="n">
        <v>290</v>
      </c>
      <c r="D72" s="10" t="n">
        <f aca="false">+(B72+C72)/2</f>
        <v>288</v>
      </c>
      <c r="E72" s="11" t="n">
        <f aca="false">+C72-B72</f>
        <v>4</v>
      </c>
      <c r="F72" s="7" t="n">
        <f aca="false">+LN(B72/B71)*100</f>
        <v>0.701757265864654</v>
      </c>
      <c r="G72" s="7" t="n">
        <f aca="false">+LN(C72/C71)*100</f>
        <v>0.692044284457376</v>
      </c>
      <c r="H72" s="8" t="n">
        <v>0.701757265864654</v>
      </c>
      <c r="I72" s="8" t="n">
        <v>0.692044284457376</v>
      </c>
    </row>
    <row r="73" customFormat="false" ht="15.8" hidden="false" customHeight="false" outlineLevel="0" collapsed="false">
      <c r="A73" s="4" t="n">
        <v>44895</v>
      </c>
      <c r="B73" s="5" t="n">
        <v>310</v>
      </c>
      <c r="C73" s="5" t="n">
        <v>314</v>
      </c>
      <c r="D73" s="5" t="n">
        <f aca="false">+(B73+C73)/2</f>
        <v>312</v>
      </c>
      <c r="E73" s="6" t="n">
        <f aca="false">+C73-B73</f>
        <v>4</v>
      </c>
      <c r="F73" s="7" t="n">
        <f aca="false">+LN(B73/B72)*100</f>
        <v>8.05804866593394</v>
      </c>
      <c r="G73" s="7" t="n">
        <f aca="false">+LN(C73/C72)*100</f>
        <v>7.95120629277336</v>
      </c>
      <c r="H73" s="8" t="n">
        <v>8.05804866593394</v>
      </c>
      <c r="I73" s="8" t="n">
        <v>7.95120629277336</v>
      </c>
    </row>
    <row r="74" customFormat="false" ht="15.8" hidden="false" customHeight="false" outlineLevel="0" collapsed="false">
      <c r="A74" s="4" t="n">
        <v>44925</v>
      </c>
      <c r="B74" s="5" t="n">
        <v>342</v>
      </c>
      <c r="C74" s="5" t="n">
        <v>346</v>
      </c>
      <c r="D74" s="5" t="n">
        <f aca="false">+(B74+C74)/2</f>
        <v>344</v>
      </c>
      <c r="E74" s="6" t="n">
        <f aca="false">+C74-B74</f>
        <v>4</v>
      </c>
      <c r="F74" s="7" t="n">
        <f aca="false">+LN(B74/B73)*100</f>
        <v>9.82384395834133</v>
      </c>
      <c r="G74" s="7" t="n">
        <f aca="false">+LN(C74/C73)*100</f>
        <v>9.70457891494709</v>
      </c>
      <c r="H74" s="8" t="n">
        <v>9.82384395834133</v>
      </c>
      <c r="I74" s="8" t="n">
        <v>9.70457891494709</v>
      </c>
    </row>
    <row r="75" customFormat="false" ht="15.8" hidden="false" customHeight="false" outlineLevel="0" collapsed="false">
      <c r="A75" s="4" t="n">
        <v>44957</v>
      </c>
      <c r="B75" s="5" t="n">
        <v>379</v>
      </c>
      <c r="C75" s="5" t="n">
        <v>383</v>
      </c>
      <c r="D75" s="5" t="n">
        <f aca="false">+(B75+C75)/2</f>
        <v>381</v>
      </c>
      <c r="E75" s="6" t="n">
        <f aca="false">+C75-B75</f>
        <v>4</v>
      </c>
      <c r="F75" s="7" t="n">
        <f aca="false">+LN(B75/B74)*100</f>
        <v>10.2725468019821</v>
      </c>
      <c r="G75" s="7" t="n">
        <f aca="false">+LN(C75/C74)*100</f>
        <v>10.1596214122922</v>
      </c>
      <c r="H75" s="8" t="n">
        <v>10.2725468019821</v>
      </c>
      <c r="I75" s="8" t="n">
        <v>10.1596214122922</v>
      </c>
    </row>
    <row r="76" customFormat="false" ht="15.8" hidden="false" customHeight="false" outlineLevel="0" collapsed="false">
      <c r="A76" s="9" t="n">
        <v>44985</v>
      </c>
      <c r="B76" s="10" t="n">
        <v>373</v>
      </c>
      <c r="C76" s="10" t="n">
        <v>377</v>
      </c>
      <c r="D76" s="10" t="n">
        <f aca="false">+(B76+C76)/2</f>
        <v>375</v>
      </c>
      <c r="E76" s="11" t="n">
        <f aca="false">+C76-B76</f>
        <v>4</v>
      </c>
      <c r="F76" s="7" t="n">
        <f aca="false">+LN(B76/B75)*100</f>
        <v>-1.59577854386108</v>
      </c>
      <c r="G76" s="7" t="n">
        <f aca="false">+LN(C76/C75)*100</f>
        <v>-1.57898017326352</v>
      </c>
      <c r="H76" s="8" t="n">
        <v>-1.59577854386108</v>
      </c>
      <c r="I76" s="8" t="n">
        <v>-1.57898017326352</v>
      </c>
    </row>
    <row r="77" customFormat="false" ht="15.8" hidden="false" customHeight="false" outlineLevel="0" collapsed="false">
      <c r="A77" s="9" t="n">
        <v>45016</v>
      </c>
      <c r="B77" s="10" t="n">
        <v>388</v>
      </c>
      <c r="C77" s="10" t="n">
        <v>393</v>
      </c>
      <c r="D77" s="10" t="n">
        <f aca="false">+(B77+C77)/2</f>
        <v>390.5</v>
      </c>
      <c r="E77" s="11" t="n">
        <f aca="false">+C77-B77</f>
        <v>5</v>
      </c>
      <c r="F77" s="7" t="n">
        <f aca="false">+LN(B77/B76)*100</f>
        <v>3.94269199794579</v>
      </c>
      <c r="G77" s="7" t="n">
        <f aca="false">+LN(C77/C76)*100</f>
        <v>4.15644244212506</v>
      </c>
      <c r="H77" s="8" t="n">
        <v>3.94269199794579</v>
      </c>
      <c r="I77" s="8" t="n">
        <v>4.15644244212506</v>
      </c>
    </row>
    <row r="78" customFormat="false" ht="15.8" hidden="false" customHeight="false" outlineLevel="0" collapsed="false">
      <c r="A78" s="4" t="n">
        <v>45044</v>
      </c>
      <c r="B78" s="5" t="n">
        <v>464</v>
      </c>
      <c r="C78" s="5" t="n">
        <v>469</v>
      </c>
      <c r="D78" s="5" t="n">
        <v>416</v>
      </c>
      <c r="E78" s="6" t="n">
        <f aca="false">+C78-B78</f>
        <v>5</v>
      </c>
      <c r="F78" s="7" t="n">
        <f aca="false">+LN(B78/B77)*100</f>
        <v>17.8879212602982</v>
      </c>
      <c r="G78" s="7" t="n">
        <f aca="false">+LN(C78/C77)*100</f>
        <v>17.6793156577018</v>
      </c>
      <c r="H78" s="8" t="n">
        <v>17.8879212602982</v>
      </c>
      <c r="I78" s="8" t="n">
        <v>17.6793156577018</v>
      </c>
    </row>
    <row r="79" customFormat="false" ht="15.8" hidden="false" customHeight="false" outlineLevel="0" collapsed="false">
      <c r="A79" s="4" t="n">
        <v>45077</v>
      </c>
      <c r="B79" s="5" t="n">
        <v>485</v>
      </c>
      <c r="C79" s="5" t="n">
        <v>490</v>
      </c>
      <c r="D79" s="5" t="n">
        <f aca="false">+(B79+C79)/2</f>
        <v>487.5</v>
      </c>
      <c r="E79" s="6" t="n">
        <f aca="false">+C79-B79</f>
        <v>5</v>
      </c>
      <c r="F79" s="7" t="n">
        <f aca="false">+LN(B79/B78)*100</f>
        <v>4.4264338711228</v>
      </c>
      <c r="G79" s="7" t="n">
        <f aca="false">+LN(C79/C78)*100</f>
        <v>4.38026226583928</v>
      </c>
      <c r="H79" s="8" t="n">
        <v>4.4264338711228</v>
      </c>
      <c r="I79" s="8" t="n">
        <v>4.38026226583928</v>
      </c>
    </row>
    <row r="80" customFormat="false" ht="15.8" hidden="false" customHeight="false" outlineLevel="0" collapsed="false">
      <c r="A80" s="4" t="n">
        <v>45107</v>
      </c>
      <c r="B80" s="5" t="n">
        <v>488</v>
      </c>
      <c r="C80" s="5" t="n">
        <v>493</v>
      </c>
      <c r="D80" s="5" t="n">
        <f aca="false">+(B80+C80)/2</f>
        <v>490.5</v>
      </c>
      <c r="E80" s="6" t="n">
        <f aca="false">+C80-B80</f>
        <v>5</v>
      </c>
      <c r="F80" s="7" t="n">
        <f aca="false">+LN(B80/B79)*100</f>
        <v>0.616651491566396</v>
      </c>
      <c r="G80" s="7" t="n">
        <f aca="false">+LN(C80/C79)*100</f>
        <v>0.610378293801789</v>
      </c>
      <c r="H80" s="8" t="n">
        <v>0.616651491566396</v>
      </c>
      <c r="I80" s="8" t="n">
        <v>0.610378293801789</v>
      </c>
    </row>
    <row r="81" customFormat="false" ht="15.8" hidden="false" customHeight="false" outlineLevel="0" collapsed="false">
      <c r="A81" s="9" t="n">
        <v>45138</v>
      </c>
      <c r="B81" s="10" t="n">
        <v>545</v>
      </c>
      <c r="C81" s="10" t="n">
        <v>550</v>
      </c>
      <c r="D81" s="10" t="n">
        <f aca="false">+(B81+C81)/2</f>
        <v>547.5</v>
      </c>
      <c r="E81" s="11" t="n">
        <f aca="false">+C81-B81</f>
        <v>5</v>
      </c>
      <c r="F81" s="7" t="n">
        <f aca="false">+LN(B81/B80)*100</f>
        <v>11.0470388810097</v>
      </c>
      <c r="G81" s="7" t="n">
        <f aca="false">+LN(C81/C80)*100</f>
        <v>10.9409104183826</v>
      </c>
      <c r="H81" s="8" t="n">
        <v>11.0470388810097</v>
      </c>
      <c r="I81" s="8" t="n">
        <v>10.9409104183826</v>
      </c>
    </row>
    <row r="82" customFormat="false" ht="15.8" hidden="false" customHeight="false" outlineLevel="0" collapsed="false">
      <c r="A82" s="9" t="n">
        <v>45169</v>
      </c>
      <c r="B82" s="10" t="n">
        <v>720</v>
      </c>
      <c r="C82" s="10" t="n">
        <v>730</v>
      </c>
      <c r="D82" s="10" t="n">
        <f aca="false">+(B82+C82)/2</f>
        <v>725</v>
      </c>
      <c r="E82" s="11" t="n">
        <f aca="false">+C82-B82</f>
        <v>10</v>
      </c>
      <c r="F82" s="7" t="n">
        <f aca="false">+LN(B82/B81)*100</f>
        <v>27.8465417346857</v>
      </c>
      <c r="G82" s="7" t="n">
        <f aca="false">+LN(C82/C81)*100</f>
        <v>28.312625591592</v>
      </c>
      <c r="H82" s="8" t="n">
        <v>27.8465417346857</v>
      </c>
      <c r="I82" s="8" t="n">
        <v>28.312625591592</v>
      </c>
    </row>
    <row r="83" customFormat="false" ht="15.8" hidden="false" customHeight="false" outlineLevel="0" collapsed="false">
      <c r="A83" s="4" t="n">
        <v>45198</v>
      </c>
      <c r="B83" s="5" t="n">
        <v>790</v>
      </c>
      <c r="C83" s="5" t="n">
        <v>800</v>
      </c>
      <c r="D83" s="5" t="n">
        <f aca="false">+(B83+C83)/2</f>
        <v>795</v>
      </c>
      <c r="E83" s="6" t="n">
        <f aca="false">+C83-B83</f>
        <v>10</v>
      </c>
      <c r="F83" s="7" t="n">
        <f aca="false">+LN(B83/B82)*100</f>
        <v>9.27817334509663</v>
      </c>
      <c r="G83" s="7" t="n">
        <f aca="false">+LN(C83/C82)*100</f>
        <v>9.15671935254904</v>
      </c>
      <c r="H83" s="8" t="n">
        <v>9.27817334509663</v>
      </c>
      <c r="I83" s="8" t="n">
        <v>9.15671935254904</v>
      </c>
    </row>
    <row r="84" customFormat="false" ht="15.8" hidden="false" customHeight="false" outlineLevel="0" collapsed="false">
      <c r="A84" s="4" t="n">
        <v>45230</v>
      </c>
      <c r="B84" s="5" t="n">
        <v>870</v>
      </c>
      <c r="C84" s="5" t="n">
        <v>920</v>
      </c>
      <c r="D84" s="5" t="n">
        <f aca="false">+(B84+C84)/2</f>
        <v>895</v>
      </c>
      <c r="E84" s="6" t="n">
        <f aca="false">+C84-B84</f>
        <v>50</v>
      </c>
      <c r="F84" s="7" t="n">
        <f aca="false">+LN(B84/B83)*100</f>
        <v>9.64602661875623</v>
      </c>
      <c r="G84" s="7" t="n">
        <f aca="false">+LN(C84/C83)*100</f>
        <v>13.9761942375159</v>
      </c>
      <c r="H84" s="8" t="n">
        <v>9.64602661875623</v>
      </c>
      <c r="I84" s="8" t="n">
        <v>13.9761942375159</v>
      </c>
    </row>
    <row r="85" customFormat="false" ht="15.8" hidden="false" customHeight="false" outlineLevel="0" collapsed="false">
      <c r="A85" s="9" t="n">
        <v>45260</v>
      </c>
      <c r="B85" s="10" t="n">
        <v>855</v>
      </c>
      <c r="C85" s="10" t="n">
        <v>905</v>
      </c>
      <c r="D85" s="10" t="n">
        <f aca="false">+(B85+C85)/2</f>
        <v>880</v>
      </c>
      <c r="E85" s="11" t="n">
        <f aca="false">+C85-B85</f>
        <v>50</v>
      </c>
      <c r="F85" s="7" t="n">
        <f aca="false">+LN(B85/B84)*100</f>
        <v>-1.73917427118692</v>
      </c>
      <c r="G85" s="7" t="n">
        <f aca="false">+LN(C85/C84)*100</f>
        <v>-1.64387263431598</v>
      </c>
      <c r="H85" s="8" t="n">
        <v>-1.73917427118692</v>
      </c>
      <c r="I85" s="8" t="n">
        <v>-1.64387263431598</v>
      </c>
    </row>
    <row r="86" customFormat="false" ht="15.8" hidden="false" customHeight="false" outlineLevel="0" collapsed="false">
      <c r="A86" s="4" t="n">
        <v>45289</v>
      </c>
      <c r="B86" s="5" t="n">
        <v>975</v>
      </c>
      <c r="C86" s="5" t="n">
        <v>1025</v>
      </c>
      <c r="D86" s="5" t="n">
        <f aca="false">+(B86+C86)/2</f>
        <v>1000</v>
      </c>
      <c r="E86" s="6" t="n">
        <f aca="false">+C86-B86</f>
        <v>50</v>
      </c>
      <c r="F86" s="7" t="n">
        <f aca="false">+LN(B86/B85)*100</f>
        <v>13.1336002061087</v>
      </c>
      <c r="G86" s="7" t="n">
        <f aca="false">+LN(C86/C85)*100</f>
        <v>12.4512947872583</v>
      </c>
      <c r="H86" s="8" t="n">
        <v>13.1336002061087</v>
      </c>
      <c r="I86" s="8" t="n">
        <v>12.4512947872583</v>
      </c>
    </row>
    <row r="87" customFormat="false" ht="15.8" hidden="false" customHeight="false" outlineLevel="0" collapsed="false">
      <c r="A87" s="4" t="n">
        <v>45322</v>
      </c>
      <c r="B87" s="5" t="n">
        <v>1145</v>
      </c>
      <c r="C87" s="5" t="n">
        <v>1195</v>
      </c>
      <c r="D87" s="5" t="n">
        <f aca="false">+(B87+C87)/2</f>
        <v>1170</v>
      </c>
      <c r="E87" s="6" t="n">
        <f aca="false">+C87-B87</f>
        <v>50</v>
      </c>
      <c r="F87" s="7" t="n">
        <f aca="false">+LN(B87/B86)*100</f>
        <v>16.0722444990493</v>
      </c>
      <c r="G87" s="7" t="n">
        <f aca="false">+LN(C87/C86)*100</f>
        <v>15.3453572793102</v>
      </c>
      <c r="H87" s="8" t="n">
        <v>16.0722444990493</v>
      </c>
      <c r="I87" s="8" t="n">
        <v>15.3453572793102</v>
      </c>
    </row>
    <row r="88" customFormat="false" ht="15.8" hidden="false" customHeight="false" outlineLevel="0" collapsed="false">
      <c r="A88" s="9" t="n">
        <v>45351</v>
      </c>
      <c r="B88" s="10" t="n">
        <v>1015</v>
      </c>
      <c r="C88" s="10" t="n">
        <v>1045</v>
      </c>
      <c r="D88" s="10" t="n">
        <f aca="false">+(B88+C88)/2</f>
        <v>1030</v>
      </c>
      <c r="E88" s="11" t="n">
        <f aca="false">+C88-B88</f>
        <v>30</v>
      </c>
      <c r="F88" s="7" t="n">
        <f aca="false">+LN(B88/B87)*100</f>
        <v>-12.0516024512452</v>
      </c>
      <c r="G88" s="7" t="n">
        <f aca="false">+LN(C88/C87)*100</f>
        <v>-13.41292999667</v>
      </c>
      <c r="H88" s="15" t="n">
        <v>-12.0516024512452</v>
      </c>
      <c r="I88" s="8" t="n">
        <v>-13.41292999667</v>
      </c>
    </row>
    <row r="89" customFormat="false" ht="15.8" hidden="false" customHeight="false" outlineLevel="0" collapsed="false">
      <c r="A89" s="4" t="n">
        <v>45378</v>
      </c>
      <c r="B89" s="5" t="n">
        <v>980</v>
      </c>
      <c r="C89" s="5" t="n">
        <v>1010</v>
      </c>
      <c r="D89" s="5" t="n">
        <f aca="false">+(B89+C89)/2</f>
        <v>995</v>
      </c>
      <c r="E89" s="6" t="n">
        <f aca="false">+C89-B89</f>
        <v>30</v>
      </c>
      <c r="F89" s="7" t="n">
        <f aca="false">+LN(B89/B88)*100</f>
        <v>-3.50913198112701</v>
      </c>
      <c r="G89" s="7" t="n">
        <f aca="false">+LN(C89/C88)*100</f>
        <v>-3.40665545636062</v>
      </c>
      <c r="H89" s="15" t="n">
        <v>-3.50913198112701</v>
      </c>
      <c r="I89" s="8" t="n">
        <v>-3.40665545636062</v>
      </c>
    </row>
    <row r="90" customFormat="false" ht="15.8" hidden="false" customHeight="false" outlineLevel="0" collapsed="false">
      <c r="A90" s="4" t="n">
        <v>45412</v>
      </c>
      <c r="B90" s="5" t="n">
        <v>1010</v>
      </c>
      <c r="C90" s="5" t="n">
        <v>1040</v>
      </c>
      <c r="D90" s="5" t="n">
        <f aca="false">+(B90+C90)/2</f>
        <v>1025</v>
      </c>
      <c r="E90" s="6" t="n">
        <f aca="false">+C90-B90</f>
        <v>30</v>
      </c>
      <c r="F90" s="7" t="n">
        <f aca="false">+LN(B90/B89)*100</f>
        <v>3.01530381706875</v>
      </c>
      <c r="G90" s="7" t="n">
        <f aca="false">+LN(C90/C89)*100</f>
        <v>2.92703823001132</v>
      </c>
      <c r="H90" s="15" t="n">
        <v>3.01530381706875</v>
      </c>
      <c r="I90" s="8" t="n">
        <v>2.92703823001132</v>
      </c>
    </row>
    <row r="91" customFormat="false" ht="15.8" hidden="false" customHeight="false" outlineLevel="0" collapsed="false">
      <c r="A91" s="4" t="n">
        <v>45443</v>
      </c>
      <c r="B91" s="5" t="n">
        <v>1195</v>
      </c>
      <c r="C91" s="5" t="n">
        <v>1225</v>
      </c>
      <c r="D91" s="5" t="n">
        <f aca="false">+(B91+C91)/2</f>
        <v>1210</v>
      </c>
      <c r="E91" s="6" t="n">
        <f aca="false">+C91-B91</f>
        <v>30</v>
      </c>
      <c r="F91" s="7" t="n">
        <f aca="false">+LN(B91/B90)*100</f>
        <v>16.8195854530306</v>
      </c>
      <c r="G91" s="7" t="n">
        <f aca="false">+LN(C91/C90)*100</f>
        <v>16.3720130843409</v>
      </c>
      <c r="H91" s="8" t="n">
        <v>16.8195854530306</v>
      </c>
      <c r="I91" s="8" t="n">
        <v>16.3720130843409</v>
      </c>
    </row>
    <row r="92" customFormat="false" ht="15.8" hidden="false" customHeight="false" outlineLevel="0" collapsed="false">
      <c r="A92" s="9" t="n">
        <v>45471</v>
      </c>
      <c r="B92" s="10" t="n">
        <v>1335</v>
      </c>
      <c r="C92" s="10" t="n">
        <v>1365</v>
      </c>
      <c r="D92" s="10" t="n">
        <f aca="false">+(B92+C92)/2</f>
        <v>1350</v>
      </c>
      <c r="E92" s="11" t="n">
        <f aca="false">+C92-B92</f>
        <v>30</v>
      </c>
      <c r="F92" s="7" t="n">
        <f aca="false">+LN(B92/B91)*100</f>
        <v>11.0785106468739</v>
      </c>
      <c r="G92" s="7" t="n">
        <f aca="false">+LN(C92/C91)*100</f>
        <v>10.8213584640233</v>
      </c>
      <c r="H92" s="8" t="n">
        <v>11.0785106468739</v>
      </c>
      <c r="I92" s="8" t="n">
        <v>10.8213584640233</v>
      </c>
    </row>
    <row r="93" customFormat="false" ht="15.8" hidden="false" customHeight="false" outlineLevel="0" collapsed="false">
      <c r="A93" s="4" t="n">
        <v>45504</v>
      </c>
      <c r="B93" s="5" t="n">
        <v>1330</v>
      </c>
      <c r="C93" s="5" t="n">
        <v>1360</v>
      </c>
      <c r="D93" s="5" t="n">
        <f aca="false">+(B93+C93)/2</f>
        <v>1345</v>
      </c>
      <c r="E93" s="6" t="n">
        <f aca="false">+C93-B93</f>
        <v>30</v>
      </c>
      <c r="F93" s="7" t="n">
        <f aca="false">+LN(B93/B92)*100</f>
        <v>-0.375234961855046</v>
      </c>
      <c r="G93" s="7" t="n">
        <f aca="false">+LN(C93/C92)*100</f>
        <v>-0.36697288889624</v>
      </c>
      <c r="H93" s="8" t="n">
        <v>-0.375234961855046</v>
      </c>
      <c r="I93" s="8" t="n">
        <v>-0.36697288889624</v>
      </c>
    </row>
    <row r="94" customFormat="false" ht="15.8" hidden="false" customHeight="false" outlineLevel="0" collapsed="false">
      <c r="A94" s="4" t="n">
        <v>45534</v>
      </c>
      <c r="B94" s="5" t="n">
        <v>1275</v>
      </c>
      <c r="C94" s="5" t="n">
        <v>1305</v>
      </c>
      <c r="D94" s="5" t="n">
        <f aca="false">+(B94+C94)/2</f>
        <v>1290</v>
      </c>
      <c r="E94" s="6" t="n">
        <f aca="false">+C94-B94</f>
        <v>30</v>
      </c>
      <c r="F94" s="7" t="n">
        <f aca="false">+LN(B94/B93)*100</f>
        <v>-4.22327636232729</v>
      </c>
      <c r="G94" s="7" t="n">
        <f aca="false">+LN(C94/C93)*100</f>
        <v>-4.12816589733039</v>
      </c>
      <c r="H94" s="8" t="n">
        <v>-4.22327636232729</v>
      </c>
      <c r="I94" s="8" t="n">
        <v>-4.12816589733039</v>
      </c>
    </row>
    <row r="95" customFormat="false" ht="15.8" hidden="false" customHeight="false" outlineLevel="0" collapsed="false">
      <c r="A95" s="9" t="n">
        <v>45565</v>
      </c>
      <c r="B95" s="10" t="n">
        <v>1200</v>
      </c>
      <c r="C95" s="10" t="n">
        <v>1230</v>
      </c>
      <c r="D95" s="10" t="n">
        <f aca="false">+(B95+C95)/2</f>
        <v>1215</v>
      </c>
      <c r="E95" s="11" t="n">
        <f aca="false">+C95-B95</f>
        <v>30</v>
      </c>
      <c r="F95" s="7" t="n">
        <f aca="false">+LN(B95/B94)*100</f>
        <v>-6.06246218164349</v>
      </c>
      <c r="G95" s="7" t="n">
        <f aca="false">+LN(C95/C94)*100</f>
        <v>-5.91888713903307</v>
      </c>
      <c r="H95" s="8" t="n">
        <v>-6.06246218164349</v>
      </c>
      <c r="I95" s="8" t="n">
        <v>-5.91888713903307</v>
      </c>
    </row>
    <row r="96" customFormat="false" ht="15.8" hidden="false" customHeight="false" outlineLevel="0" collapsed="false">
      <c r="A96" s="9" t="n">
        <v>45596</v>
      </c>
      <c r="B96" s="10" t="n">
        <v>1150</v>
      </c>
      <c r="C96" s="10" t="n">
        <v>1180</v>
      </c>
      <c r="D96" s="10" t="n">
        <f aca="false">+(B96+C96)/2</f>
        <v>1165</v>
      </c>
      <c r="E96" s="11" t="n">
        <f aca="false">+C96-B96</f>
        <v>30</v>
      </c>
      <c r="F96" s="7" t="n">
        <f aca="false">+LN(B96/B95)*100</f>
        <v>-4.25596144187959</v>
      </c>
      <c r="G96" s="7" t="n">
        <f aca="false">+LN(C96/C95)*100</f>
        <v>-4.14997309067527</v>
      </c>
      <c r="H96" s="8" t="n">
        <v>-4.25596144187959</v>
      </c>
      <c r="I96" s="8" t="n">
        <v>-4.14997309067527</v>
      </c>
    </row>
    <row r="97" customFormat="false" ht="15.8" hidden="false" customHeight="false" outlineLevel="0" collapsed="false">
      <c r="A97" s="9" t="n">
        <v>45625</v>
      </c>
      <c r="B97" s="10" t="n">
        <v>1090</v>
      </c>
      <c r="C97" s="10" t="n">
        <v>1120</v>
      </c>
      <c r="D97" s="10" t="n">
        <f aca="false">+(B97+C97)/2</f>
        <v>1105</v>
      </c>
      <c r="E97" s="11" t="n">
        <f aca="false">+C97-B97</f>
        <v>30</v>
      </c>
      <c r="F97" s="7" t="n">
        <f aca="false">+LN(B97/B96)*100</f>
        <v>-5.35842461341064</v>
      </c>
      <c r="G97" s="7" t="n">
        <f aca="false">+LN(C97/C96)*100</f>
        <v>-5.21857531705702</v>
      </c>
      <c r="H97" s="8" t="n">
        <v>-5.35842461341064</v>
      </c>
      <c r="I97" s="8" t="n">
        <v>-5.21857531705702</v>
      </c>
    </row>
    <row r="98" customFormat="false" ht="15.8" hidden="false" customHeight="false" outlineLevel="0" collapsed="false">
      <c r="A98" s="9" t="n">
        <v>45657</v>
      </c>
      <c r="B98" s="10" t="n">
        <v>1210</v>
      </c>
      <c r="C98" s="10" t="n">
        <v>1230</v>
      </c>
      <c r="D98" s="10" t="n">
        <f aca="false">+(B98+C98)/2</f>
        <v>1220</v>
      </c>
      <c r="E98" s="11" t="n">
        <f aca="false">+C98-B98</f>
        <v>20</v>
      </c>
      <c r="F98" s="7" t="n">
        <f aca="false">+LN(B98/B97)*100</f>
        <v>10.4442663367597</v>
      </c>
      <c r="G98" s="7" t="n">
        <f aca="false">+LN(C98/C97)*100</f>
        <v>9.3685484077323</v>
      </c>
      <c r="H98" s="8" t="n">
        <v>10.4442663367597</v>
      </c>
      <c r="I98" s="8" t="n">
        <v>9.3685484077323</v>
      </c>
    </row>
    <row r="99" customFormat="false" ht="15.8" hidden="false" customHeight="false" outlineLevel="0" collapsed="false">
      <c r="A99" s="4" t="n">
        <v>45688</v>
      </c>
      <c r="B99" s="5" t="n">
        <v>1200</v>
      </c>
      <c r="C99" s="5" t="n">
        <v>1220</v>
      </c>
      <c r="D99" s="5" t="n">
        <f aca="false">+(B99+C99)/2</f>
        <v>1210</v>
      </c>
      <c r="E99" s="6" t="n">
        <f aca="false">+C99-B99</f>
        <v>20</v>
      </c>
      <c r="F99" s="7" t="n">
        <f aca="false">+LN(B99/B98)*100</f>
        <v>-0.829880281469507</v>
      </c>
      <c r="G99" s="7" t="n">
        <f aca="false">+LN(C99/C98)*100</f>
        <v>-0.816331063916098</v>
      </c>
      <c r="H99" s="8" t="n">
        <v>-0.829880281469507</v>
      </c>
      <c r="I99" s="8" t="n">
        <v>-0.816331063916098</v>
      </c>
    </row>
    <row r="100" customFormat="false" ht="15.8" hidden="false" customHeight="false" outlineLevel="0" collapsed="false">
      <c r="A100" s="4" t="n">
        <v>45716</v>
      </c>
      <c r="B100" s="5" t="n">
        <v>1205</v>
      </c>
      <c r="C100" s="5" t="n">
        <v>1225</v>
      </c>
      <c r="D100" s="5" t="n">
        <f aca="false">+(B100+C100)/2</f>
        <v>1215</v>
      </c>
      <c r="E100" s="6" t="n">
        <f aca="false">+C100-B100</f>
        <v>20</v>
      </c>
      <c r="F100" s="7" t="n">
        <f aca="false">+LN(B100/B99)*100</f>
        <v>0.415801014866368</v>
      </c>
      <c r="G100" s="7" t="n">
        <f aca="false">+LN(C100/C99)*100</f>
        <v>0.408998525152507</v>
      </c>
      <c r="H100" s="8" t="n">
        <v>0.415801014866368</v>
      </c>
      <c r="I100" s="8" t="n">
        <v>0.408998525152507</v>
      </c>
    </row>
    <row r="101" customFormat="false" ht="15.8" hidden="false" customHeight="false" outlineLevel="0" collapsed="false">
      <c r="A101" s="4" t="n">
        <v>45747</v>
      </c>
      <c r="B101" s="5" t="n">
        <v>1280</v>
      </c>
      <c r="C101" s="5" t="n">
        <v>1300</v>
      </c>
      <c r="D101" s="5" t="n">
        <f aca="false">+(B101+C101)/2</f>
        <v>1290</v>
      </c>
      <c r="E101" s="6" t="n">
        <f aca="false">+C101-B101</f>
        <v>20</v>
      </c>
      <c r="F101" s="7" t="n">
        <f aca="false">+LN(B101/B100)*100</f>
        <v>6.03805109889075</v>
      </c>
      <c r="G101" s="7" t="n">
        <f aca="false">+LN(C101/C100)*100</f>
        <v>5.94234204708008</v>
      </c>
      <c r="H101" s="8" t="n">
        <v>6.03805109889075</v>
      </c>
      <c r="I101" s="8" t="n">
        <v>5.94234204708008</v>
      </c>
    </row>
    <row r="102" customFormat="false" ht="15.8" hidden="false" customHeight="false" outlineLevel="0" collapsed="false">
      <c r="A102" s="9" t="n">
        <v>45777</v>
      </c>
      <c r="B102" s="10" t="n">
        <v>1165</v>
      </c>
      <c r="C102" s="10" t="n">
        <v>1185</v>
      </c>
      <c r="D102" s="10" t="n">
        <f aca="false">+(B102+C102)/2</f>
        <v>1175</v>
      </c>
      <c r="E102" s="11" t="n">
        <f aca="false">+C102-B102</f>
        <v>20</v>
      </c>
      <c r="F102" s="7" t="n">
        <f aca="false">+LN(B102/B101)*100</f>
        <v>-9.41389909138619</v>
      </c>
      <c r="G102" s="7" t="n">
        <f aca="false">+LN(C102/C101)*100</f>
        <v>-9.26214898803966</v>
      </c>
      <c r="H102" s="8" t="n">
        <v>-9.41389909138619</v>
      </c>
      <c r="I102" s="8" t="n">
        <v>-9.26214898803966</v>
      </c>
    </row>
    <row r="103" customFormat="false" ht="15.8" hidden="false" customHeight="false" outlineLevel="0" collapsed="false">
      <c r="A103" s="9" t="n">
        <v>45807</v>
      </c>
      <c r="B103" s="10" t="n">
        <v>1160</v>
      </c>
      <c r="C103" s="10" t="n">
        <v>1180</v>
      </c>
      <c r="D103" s="10" t="n">
        <f aca="false">+(B103+C103)/2</f>
        <v>1170</v>
      </c>
      <c r="E103" s="11" t="n">
        <f aca="false">+C103-B103</f>
        <v>20</v>
      </c>
      <c r="F103" s="7" t="n">
        <f aca="false">+LN(B103/B102)*100</f>
        <v>-0.430108189939059</v>
      </c>
      <c r="G103" s="7" t="n">
        <f aca="false">+LN(C103/C102)*100</f>
        <v>-0.422833610952106</v>
      </c>
      <c r="H103" s="8" t="n">
        <v>-0.430108189939059</v>
      </c>
      <c r="I103" s="8" t="n">
        <v>-0.422833610952106</v>
      </c>
    </row>
    <row r="104" customFormat="false" ht="15.8" hidden="false" customHeight="false" outlineLevel="0" collapsed="false">
      <c r="A104" s="9" t="n">
        <v>45838</v>
      </c>
      <c r="B104" s="10" t="n">
        <v>1195</v>
      </c>
      <c r="C104" s="10" t="n">
        <v>1215</v>
      </c>
      <c r="D104" s="10" t="n">
        <f aca="false">+(B104+C104)/2</f>
        <v>1205</v>
      </c>
      <c r="E104" s="11" t="n">
        <f aca="false">+C104-B104</f>
        <v>20</v>
      </c>
      <c r="F104" s="7" t="n">
        <f aca="false">+LN(B104/B103)*100</f>
        <v>2.97261802652007</v>
      </c>
      <c r="G104" s="7" t="n">
        <f aca="false">+LN(C104/C103)*100</f>
        <v>2.92296383149383</v>
      </c>
      <c r="H104" s="8" t="n">
        <v>2.97261802652007</v>
      </c>
      <c r="I104" s="8" t="n">
        <v>2.92296383149383</v>
      </c>
    </row>
    <row r="105" customFormat="false" ht="15.8" hidden="false" customHeight="false" outlineLevel="0" collapsed="false">
      <c r="A105" s="4" t="n">
        <v>45869</v>
      </c>
      <c r="B105" s="5" t="n">
        <v>1315</v>
      </c>
      <c r="C105" s="5" t="n">
        <v>1335</v>
      </c>
      <c r="D105" s="5" t="n">
        <f aca="false">+(B105+C105)/2</f>
        <v>1325</v>
      </c>
      <c r="E105" s="6" t="n">
        <f aca="false">+C105-B105</f>
        <v>20</v>
      </c>
      <c r="F105" s="7" t="n">
        <f aca="false">+LN(B105/B104)*100</f>
        <v>9.56904802462539</v>
      </c>
      <c r="G105" s="7" t="n">
        <f aca="false">+LN(C105/C104)*100</f>
        <v>9.41872150597011</v>
      </c>
      <c r="H105" s="8" t="n">
        <v>9.56904802462539</v>
      </c>
      <c r="I105" s="8" t="n">
        <v>9.41872150597011</v>
      </c>
    </row>
    <row r="106" customFormat="false" ht="15.8" hidden="false" customHeight="false" outlineLevel="0" collapsed="false">
      <c r="A106" s="4" t="n">
        <v>45898</v>
      </c>
      <c r="B106" s="5" t="n">
        <v>1330</v>
      </c>
      <c r="C106" s="5" t="n">
        <v>1350</v>
      </c>
      <c r="D106" s="5" t="n">
        <f aca="false">+(B106+C106)/2</f>
        <v>1340</v>
      </c>
      <c r="E106" s="6" t="n">
        <f aca="false">+C106-B106</f>
        <v>20</v>
      </c>
      <c r="F106" s="7" t="n">
        <f aca="false">+LN(B106/B105)*100</f>
        <v>1.13422766039345</v>
      </c>
      <c r="G106" s="7" t="n">
        <f aca="false">+LN(C106/C105)*100</f>
        <v>1.11733005981253</v>
      </c>
      <c r="H106" s="8" t="n">
        <v>1.13422766039345</v>
      </c>
      <c r="I106" s="8" t="n">
        <v>1.11733005981253</v>
      </c>
    </row>
    <row r="107" customFormat="false" ht="15.8" hidden="false" customHeight="false" outlineLevel="0" collapsed="false">
      <c r="A107" s="4" t="n">
        <v>45930</v>
      </c>
      <c r="B107" s="5" t="n">
        <v>1425</v>
      </c>
      <c r="C107" s="5" t="n">
        <v>1445</v>
      </c>
      <c r="D107" s="5" t="n">
        <f aca="false">+(B107+C107)/2</f>
        <v>1435</v>
      </c>
      <c r="E107" s="6" t="n">
        <f aca="false">+C107-B107</f>
        <v>20</v>
      </c>
      <c r="F107" s="7" t="n">
        <f aca="false">+LN(B107/B106)*100</f>
        <v>6.89928714869514</v>
      </c>
      <c r="G107" s="7" t="n">
        <f aca="false">+LN(C107/C106)*100</f>
        <v>6.80047291140575</v>
      </c>
      <c r="H107" s="8" t="n">
        <v>6.89928714869514</v>
      </c>
      <c r="I107" s="8" t="n">
        <v>6.80047291140575</v>
      </c>
    </row>
    <row r="108" customFormat="false" ht="15.8" hidden="false" customHeight="false" outlineLevel="0" collapsed="false">
      <c r="A108" s="9" t="n">
        <v>45961</v>
      </c>
      <c r="B108" s="10" t="n">
        <v>1425</v>
      </c>
      <c r="C108" s="10" t="n">
        <v>1445</v>
      </c>
      <c r="D108" s="10" t="n">
        <f aca="false">+(B108+C108)/2</f>
        <v>1435</v>
      </c>
      <c r="E108" s="11" t="n">
        <f aca="false">+C108-B108</f>
        <v>20</v>
      </c>
      <c r="F108" s="7" t="n">
        <f aca="false">+LN(B108/B107)*100</f>
        <v>0</v>
      </c>
      <c r="G108" s="7" t="n">
        <f aca="false">+LN(C108/C107)*100</f>
        <v>0</v>
      </c>
      <c r="H108" s="8" t="n">
        <v>0</v>
      </c>
      <c r="I108" s="8" t="n">
        <v>0</v>
      </c>
    </row>
    <row r="109" customFormat="false" ht="15.8" hidden="false" customHeight="false" outlineLevel="0" collapsed="false">
      <c r="A109" s="9" t="n">
        <v>45989</v>
      </c>
      <c r="B109" s="10" t="n">
        <v>1415</v>
      </c>
      <c r="C109" s="10" t="n">
        <v>1435</v>
      </c>
      <c r="D109" s="10" t="n">
        <f aca="false">+(B109+C109)/2</f>
        <v>1425</v>
      </c>
      <c r="E109" s="11" t="n">
        <f aca="false">+C109-B109</f>
        <v>20</v>
      </c>
      <c r="F109" s="7" t="n">
        <f aca="false">+LN(B109/B108)*100</f>
        <v>-0.704228262541292</v>
      </c>
      <c r="G109" s="7" t="n">
        <f aca="false">+LN(C109/C108)*100</f>
        <v>-0.694447235281105</v>
      </c>
      <c r="H109" s="8" t="n">
        <v>-0.704228262541292</v>
      </c>
      <c r="I109" s="8" t="n">
        <v>-0.694447235281105</v>
      </c>
    </row>
    <row r="110" customFormat="false" ht="15.8" hidden="false" customHeight="false" outlineLevel="0" collapsed="false">
      <c r="A110" s="9" t="n">
        <v>46021</v>
      </c>
      <c r="B110" s="10" t="n">
        <v>1510</v>
      </c>
      <c r="C110" s="10" t="n">
        <v>1530</v>
      </c>
      <c r="D110" s="10" t="n">
        <f aca="false">+(B110+C110)/2</f>
        <v>1520</v>
      </c>
      <c r="E110" s="11" t="n">
        <f aca="false">+C110-B110</f>
        <v>20</v>
      </c>
      <c r="F110" s="7" t="n">
        <f aca="false">+LN(B110/B109)*100</f>
        <v>6.49801197316321</v>
      </c>
      <c r="G110" s="7" t="n">
        <f aca="false">+LN(C110/C109)*100</f>
        <v>6.41028861927596</v>
      </c>
      <c r="H110" s="8" t="n">
        <v>6.49801197316321</v>
      </c>
      <c r="I110" s="8" t="n">
        <v>6.41028861927596</v>
      </c>
    </row>
    <row r="111" customFormat="false" ht="15.8" hidden="false" customHeight="false" outlineLevel="0" collapsed="false">
      <c r="A111" s="4" t="n">
        <v>46052</v>
      </c>
      <c r="B111" s="5" t="n">
        <v>1450</v>
      </c>
      <c r="C111" s="5" t="n">
        <v>1470</v>
      </c>
      <c r="D111" s="5" t="n">
        <f aca="false">+(B111+C111)/2</f>
        <v>1460</v>
      </c>
      <c r="E111" s="6" t="n">
        <f aca="false">+C111-B111</f>
        <v>20</v>
      </c>
      <c r="F111" s="7" t="n">
        <f aca="false">+LN(B111/B110)*100</f>
        <v>-4.05460943943499</v>
      </c>
      <c r="G111" s="7" t="n">
        <f aca="false">+LN(C111/C110)*100</f>
        <v>-4.00053346136991</v>
      </c>
      <c r="H111" s="8" t="n">
        <v>-4.05460943943499</v>
      </c>
      <c r="I111" s="8" t="n">
        <v>-4.00053346136991</v>
      </c>
    </row>
    <row r="112" customFormat="false" ht="15.8" hidden="false" customHeight="false" outlineLevel="0" collapsed="false">
      <c r="A112" s="4" t="n">
        <v>46080</v>
      </c>
      <c r="B112" s="5" t="n">
        <v>1405</v>
      </c>
      <c r="C112" s="5" t="n">
        <v>1425</v>
      </c>
      <c r="D112" s="5" t="n">
        <f aca="false">+(B112+C112)/2</f>
        <v>1415</v>
      </c>
      <c r="E112" s="6" t="n">
        <f aca="false">+C112-B112</f>
        <v>20</v>
      </c>
      <c r="F112" s="7" t="n">
        <f aca="false">+LN(B112/B111)*100</f>
        <v>-3.15262536467739</v>
      </c>
      <c r="G112" s="7" t="n">
        <f aca="false">+LN(C112/C111)*100</f>
        <v>-3.10905870700311</v>
      </c>
      <c r="H112" s="8" t="n">
        <v>-3.15262536467739</v>
      </c>
      <c r="I112" s="8" t="n">
        <v>-3.10905870700311</v>
      </c>
    </row>
    <row r="113" customFormat="false" ht="15.8" hidden="false" customHeight="false" outlineLevel="0" collapsed="false">
      <c r="A113" s="4" t="n">
        <v>46112</v>
      </c>
      <c r="B113" s="5" t="n">
        <v>1390</v>
      </c>
      <c r="C113" s="5" t="n">
        <v>1410</v>
      </c>
      <c r="D113" s="5" t="n">
        <f aca="false">+(B113+C113)/2</f>
        <v>1400</v>
      </c>
      <c r="E113" s="6" t="n">
        <f aca="false">+C113-B113</f>
        <v>20</v>
      </c>
      <c r="F113" s="7" t="n">
        <f aca="false">+LN(B113/B112)*100</f>
        <v>-1.07335556431087</v>
      </c>
      <c r="G113" s="7" t="n">
        <f aca="false">+LN(C113/C112)*100</f>
        <v>-1.0582109330537</v>
      </c>
      <c r="H113" s="8" t="n">
        <v>-1.07335556431087</v>
      </c>
      <c r="I113" s="8" t="n">
        <v>-1.0582109330537</v>
      </c>
    </row>
    <row r="114" customFormat="false" ht="15.8" hidden="false" customHeight="false" outlineLevel="0" collapsed="false">
      <c r="A114" s="4" t="n">
        <v>46142</v>
      </c>
      <c r="B114" s="5" t="n">
        <v>1380</v>
      </c>
      <c r="C114" s="5" t="n">
        <v>1400</v>
      </c>
      <c r="D114" s="5" t="n">
        <f aca="false">+(B114+C114)/2</f>
        <v>1390</v>
      </c>
      <c r="E114" s="6" t="n">
        <f aca="false">+C114-B114</f>
        <v>20</v>
      </c>
      <c r="F114" s="7" t="n">
        <f aca="false">+LN(B114/B113)*100</f>
        <v>-0.722024797348702</v>
      </c>
      <c r="G114" s="7" t="n">
        <f aca="false">+LN(C114/C113)*100</f>
        <v>-0.711746776886399</v>
      </c>
      <c r="H114" s="8" t="n">
        <v>-0.722024797348702</v>
      </c>
      <c r="I114" s="8" t="n">
        <v>-0.711746776886399</v>
      </c>
    </row>
    <row r="115" customFormat="false" ht="15.8" hidden="false" customHeight="false" outlineLevel="0" collapsed="false">
      <c r="A115" s="4" t="n">
        <v>46171</v>
      </c>
      <c r="B115" s="5" t="n">
        <v>1410</v>
      </c>
      <c r="C115" s="5" t="n">
        <v>1430</v>
      </c>
      <c r="D115" s="5" t="n">
        <f aca="false">+(B115+C115)/2</f>
        <v>1420</v>
      </c>
      <c r="E115" s="6" t="n">
        <f aca="false">+C115-B115</f>
        <v>20</v>
      </c>
      <c r="F115" s="7" t="n">
        <f aca="false">+LN(B115/B114)*100</f>
        <v>2.15062052209637</v>
      </c>
      <c r="G115" s="7" t="n">
        <f aca="false">+LN(C115/C114)*100</f>
        <v>2.12022076506029</v>
      </c>
      <c r="H115" s="8" t="n">
        <v>2.15062052209637</v>
      </c>
      <c r="I115" s="8" t="n">
        <v>2.12022076506029</v>
      </c>
    </row>
    <row r="116" customFormat="false" ht="15.8" hidden="false" customHeight="false" outlineLevel="0" collapsed="false">
      <c r="A116" s="16" t="n">
        <v>46203</v>
      </c>
      <c r="B116" s="10" t="n">
        <v>1495</v>
      </c>
      <c r="C116" s="10" t="n">
        <v>1515</v>
      </c>
      <c r="D116" s="10" t="n">
        <f aca="false">+(B116+C116)/2</f>
        <v>1505</v>
      </c>
      <c r="E116" s="11" t="n">
        <f aca="false">+C116-B116</f>
        <v>20</v>
      </c>
      <c r="F116" s="7" t="n">
        <f aca="false">+LN(B116/B115)*100</f>
        <v>5.85365024525729</v>
      </c>
      <c r="G116" s="7" t="n">
        <f aca="false">+LN(C116/C115)*100</f>
        <v>5.77409946895165</v>
      </c>
      <c r="H116" s="8" t="n">
        <f aca="false">+F116</f>
        <v>5.85365024525729</v>
      </c>
      <c r="I116" s="8" t="n">
        <f aca="false">+G116</f>
        <v>5.77409946895165</v>
      </c>
    </row>
    <row r="117" customFormat="false" ht="15.8" hidden="false" customHeight="false" outlineLevel="0" collapsed="false">
      <c r="A117" s="17"/>
      <c r="E117" s="18"/>
    </row>
    <row r="118" customFormat="false" ht="15.8" hidden="false" customHeight="false" outlineLevel="0" collapsed="false">
      <c r="A118" s="17"/>
      <c r="E118" s="18"/>
    </row>
    <row r="119" customFormat="false" ht="15.8" hidden="false" customHeight="false" outlineLevel="0" collapsed="false">
      <c r="A119" s="17"/>
      <c r="E119" s="18"/>
    </row>
    <row r="120" customFormat="false" ht="15.8" hidden="false" customHeight="false" outlineLevel="0" collapsed="false">
      <c r="A120" s="17"/>
      <c r="E120" s="18"/>
    </row>
    <row r="121" customFormat="false" ht="15.8" hidden="false" customHeight="false" outlineLevel="0" collapsed="false">
      <c r="A121" s="17"/>
      <c r="E121" s="18"/>
    </row>
    <row r="122" customFormat="false" ht="15.8" hidden="false" customHeight="false" outlineLevel="0" collapsed="false">
      <c r="A122" s="17"/>
      <c r="E122" s="18"/>
    </row>
    <row r="123" customFormat="false" ht="15.8" hidden="false" customHeight="false" outlineLevel="0" collapsed="false">
      <c r="A123" s="17"/>
      <c r="E123" s="18"/>
    </row>
    <row r="124" customFormat="false" ht="15.8" hidden="false" customHeight="false" outlineLevel="0" collapsed="false">
      <c r="A124" s="17"/>
      <c r="E124" s="18"/>
    </row>
    <row r="125" customFormat="false" ht="15.8" hidden="false" customHeight="false" outlineLevel="0" collapsed="false">
      <c r="A125" s="17"/>
      <c r="E125" s="18"/>
    </row>
    <row r="126" customFormat="false" ht="15.8" hidden="false" customHeight="false" outlineLevel="0" collapsed="false">
      <c r="A126" s="17"/>
      <c r="E126" s="18"/>
    </row>
    <row r="127" customFormat="false" ht="15.8" hidden="false" customHeight="false" outlineLevel="0" collapsed="false">
      <c r="A127" s="17"/>
      <c r="E127" s="18"/>
    </row>
    <row r="128" customFormat="false" ht="15.8" hidden="false" customHeight="false" outlineLevel="0" collapsed="false">
      <c r="A128" s="17"/>
      <c r="E128" s="18"/>
    </row>
    <row r="129" customFormat="false" ht="15.8" hidden="false" customHeight="false" outlineLevel="0" collapsed="false">
      <c r="A129" s="17"/>
      <c r="E129" s="18"/>
    </row>
    <row r="130" customFormat="false" ht="15.8" hidden="false" customHeight="false" outlineLevel="0" collapsed="false">
      <c r="A130" s="17"/>
      <c r="E130" s="18"/>
    </row>
    <row r="131" customFormat="false" ht="15.8" hidden="false" customHeight="false" outlineLevel="0" collapsed="false">
      <c r="A131" s="17"/>
      <c r="E131" s="18"/>
    </row>
    <row r="132" customFormat="false" ht="15.8" hidden="false" customHeight="false" outlineLevel="0" collapsed="false">
      <c r="A132" s="17"/>
      <c r="E132" s="18"/>
    </row>
    <row r="133" customFormat="false" ht="15.8" hidden="false" customHeight="false" outlineLevel="0" collapsed="false">
      <c r="A133" s="17"/>
      <c r="E133" s="18"/>
    </row>
    <row r="134" customFormat="false" ht="15.8" hidden="false" customHeight="false" outlineLevel="0" collapsed="false">
      <c r="A134" s="17"/>
      <c r="E134" s="18"/>
    </row>
    <row r="135" customFormat="false" ht="15.8" hidden="false" customHeight="false" outlineLevel="0" collapsed="false">
      <c r="A135" s="17"/>
      <c r="E135" s="18"/>
    </row>
    <row r="136" customFormat="false" ht="15.8" hidden="false" customHeight="false" outlineLevel="0" collapsed="false">
      <c r="A136" s="17"/>
      <c r="E136" s="18"/>
    </row>
    <row r="137" customFormat="false" ht="15.8" hidden="false" customHeight="false" outlineLevel="0" collapsed="false">
      <c r="A137" s="17"/>
      <c r="E137" s="18"/>
    </row>
    <row r="138" customFormat="false" ht="15.8" hidden="false" customHeight="false" outlineLevel="0" collapsed="false">
      <c r="A138" s="17"/>
      <c r="E138" s="18"/>
    </row>
    <row r="139" customFormat="false" ht="15.8" hidden="false" customHeight="false" outlineLevel="0" collapsed="false">
      <c r="A139" s="17"/>
      <c r="E139" s="18"/>
    </row>
    <row r="140" customFormat="false" ht="15.8" hidden="false" customHeight="false" outlineLevel="0" collapsed="false">
      <c r="A140" s="17"/>
      <c r="E140" s="18"/>
    </row>
    <row r="141" customFormat="false" ht="15.8" hidden="false" customHeight="false" outlineLevel="0" collapsed="false">
      <c r="A141" s="17"/>
      <c r="E141" s="18"/>
    </row>
    <row r="142" customFormat="false" ht="15.8" hidden="false" customHeight="false" outlineLevel="0" collapsed="false">
      <c r="A142" s="17"/>
      <c r="E142" s="18"/>
    </row>
    <row r="143" customFormat="false" ht="15.8" hidden="false" customHeight="false" outlineLevel="0" collapsed="false">
      <c r="A143" s="17"/>
      <c r="E143" s="18"/>
    </row>
    <row r="144" customFormat="false" ht="15.8" hidden="false" customHeight="false" outlineLevel="0" collapsed="false">
      <c r="A144" s="17"/>
      <c r="E144" s="18"/>
    </row>
    <row r="145" customFormat="false" ht="15.8" hidden="false" customHeight="false" outlineLevel="0" collapsed="false">
      <c r="A145" s="17"/>
      <c r="E145" s="18"/>
    </row>
    <row r="146" customFormat="false" ht="15.8" hidden="false" customHeight="false" outlineLevel="0" collapsed="false">
      <c r="A146" s="17"/>
      <c r="E146" s="18"/>
    </row>
    <row r="147" customFormat="false" ht="15.8" hidden="false" customHeight="false" outlineLevel="0" collapsed="false">
      <c r="A147" s="17"/>
      <c r="E147" s="18"/>
    </row>
    <row r="148" customFormat="false" ht="15.8" hidden="false" customHeight="false" outlineLevel="0" collapsed="false">
      <c r="A148" s="17"/>
      <c r="E148" s="18"/>
    </row>
    <row r="149" customFormat="false" ht="15.8" hidden="false" customHeight="false" outlineLevel="0" collapsed="false">
      <c r="A149" s="17"/>
      <c r="E149" s="18"/>
    </row>
    <row r="150" customFormat="false" ht="15.8" hidden="false" customHeight="false" outlineLevel="0" collapsed="false">
      <c r="A150" s="17"/>
      <c r="E150" s="18"/>
    </row>
    <row r="151" customFormat="false" ht="15.8" hidden="false" customHeight="false" outlineLevel="0" collapsed="false">
      <c r="A151" s="17"/>
      <c r="E151" s="18"/>
    </row>
    <row r="152" customFormat="false" ht="15.8" hidden="false" customHeight="false" outlineLevel="0" collapsed="false">
      <c r="A152" s="17"/>
      <c r="E152" s="18"/>
    </row>
    <row r="153" customFormat="false" ht="15.8" hidden="false" customHeight="false" outlineLevel="0" collapsed="false">
      <c r="A153" s="17"/>
      <c r="E153" s="18"/>
    </row>
    <row r="154" customFormat="false" ht="15.8" hidden="false" customHeight="false" outlineLevel="0" collapsed="false">
      <c r="A154" s="17"/>
      <c r="E154" s="18"/>
    </row>
    <row r="155" customFormat="false" ht="15.8" hidden="false" customHeight="false" outlineLevel="0" collapsed="false">
      <c r="A155" s="17"/>
      <c r="E155" s="18"/>
    </row>
    <row r="156" customFormat="false" ht="15.8" hidden="false" customHeight="false" outlineLevel="0" collapsed="false">
      <c r="A156" s="17"/>
      <c r="E156" s="18"/>
    </row>
    <row r="157" customFormat="false" ht="15.8" hidden="false" customHeight="false" outlineLevel="0" collapsed="false">
      <c r="A157" s="17"/>
      <c r="E157" s="18"/>
    </row>
    <row r="158" customFormat="false" ht="15.8" hidden="false" customHeight="false" outlineLevel="0" collapsed="false">
      <c r="A158" s="17"/>
      <c r="E158" s="18"/>
    </row>
    <row r="159" customFormat="false" ht="15.8" hidden="false" customHeight="false" outlineLevel="0" collapsed="false">
      <c r="A159" s="17"/>
      <c r="E159" s="18"/>
    </row>
    <row r="160" customFormat="false" ht="15.8" hidden="false" customHeight="false" outlineLevel="0" collapsed="false">
      <c r="A160" s="17"/>
      <c r="E160" s="18"/>
    </row>
    <row r="161" customFormat="false" ht="15.8" hidden="false" customHeight="false" outlineLevel="0" collapsed="false">
      <c r="A161" s="17"/>
      <c r="E161" s="18"/>
    </row>
    <row r="162" customFormat="false" ht="15.8" hidden="false" customHeight="false" outlineLevel="0" collapsed="false">
      <c r="A162" s="17"/>
      <c r="E162" s="18"/>
    </row>
    <row r="163" customFormat="false" ht="15.8" hidden="false" customHeight="false" outlineLevel="0" collapsed="false">
      <c r="A163" s="17"/>
      <c r="E163" s="18"/>
    </row>
    <row r="164" customFormat="false" ht="15.8" hidden="false" customHeight="false" outlineLevel="0" collapsed="false">
      <c r="A164" s="17"/>
      <c r="E164" s="18"/>
    </row>
    <row r="165" customFormat="false" ht="15.8" hidden="false" customHeight="false" outlineLevel="0" collapsed="false">
      <c r="A165" s="17"/>
      <c r="E165" s="18"/>
    </row>
    <row r="166" customFormat="false" ht="15.8" hidden="false" customHeight="false" outlineLevel="0" collapsed="false">
      <c r="A166" s="17"/>
      <c r="E166" s="18"/>
    </row>
    <row r="167" customFormat="false" ht="15.8" hidden="false" customHeight="false" outlineLevel="0" collapsed="false">
      <c r="A167" s="17"/>
      <c r="E167" s="18"/>
    </row>
    <row r="168" customFormat="false" ht="15.8" hidden="false" customHeight="false" outlineLevel="0" collapsed="false">
      <c r="A168" s="17"/>
      <c r="E168" s="18"/>
    </row>
    <row r="169" customFormat="false" ht="15.8" hidden="false" customHeight="false" outlineLevel="0" collapsed="false">
      <c r="A169" s="17"/>
      <c r="E169" s="18"/>
    </row>
    <row r="170" customFormat="false" ht="15.8" hidden="false" customHeight="false" outlineLevel="0" collapsed="false">
      <c r="A170" s="17"/>
      <c r="E170" s="18"/>
    </row>
    <row r="171" customFormat="false" ht="15.8" hidden="false" customHeight="false" outlineLevel="0" collapsed="false">
      <c r="A171" s="17"/>
      <c r="E171" s="18"/>
    </row>
    <row r="172" customFormat="false" ht="15.8" hidden="false" customHeight="false" outlineLevel="0" collapsed="false">
      <c r="A172" s="17"/>
      <c r="E172" s="18"/>
    </row>
    <row r="173" customFormat="false" ht="15.8" hidden="false" customHeight="false" outlineLevel="0" collapsed="false">
      <c r="A173" s="17"/>
      <c r="E173" s="18"/>
    </row>
    <row r="174" customFormat="false" ht="15.8" hidden="false" customHeight="false" outlineLevel="0" collapsed="false">
      <c r="A174" s="17"/>
      <c r="E174" s="18"/>
    </row>
    <row r="175" customFormat="false" ht="15.8" hidden="false" customHeight="false" outlineLevel="0" collapsed="false">
      <c r="A175" s="17"/>
      <c r="E175" s="18"/>
    </row>
    <row r="176" customFormat="false" ht="15.8" hidden="false" customHeight="false" outlineLevel="0" collapsed="false">
      <c r="A176" s="17"/>
      <c r="E176" s="18"/>
    </row>
    <row r="177" customFormat="false" ht="15.8" hidden="false" customHeight="false" outlineLevel="0" collapsed="false">
      <c r="A177" s="17"/>
      <c r="E177" s="18"/>
    </row>
    <row r="178" customFormat="false" ht="15.8" hidden="false" customHeight="false" outlineLevel="0" collapsed="false">
      <c r="A178" s="17"/>
      <c r="E178" s="18"/>
    </row>
    <row r="179" customFormat="false" ht="15.8" hidden="false" customHeight="false" outlineLevel="0" collapsed="false">
      <c r="A179" s="17"/>
      <c r="E179" s="18"/>
    </row>
    <row r="180" customFormat="false" ht="15.8" hidden="false" customHeight="false" outlineLevel="0" collapsed="false">
      <c r="A180" s="17"/>
      <c r="E180" s="18"/>
    </row>
    <row r="181" customFormat="false" ht="15.8" hidden="false" customHeight="false" outlineLevel="0" collapsed="false">
      <c r="A181" s="17"/>
      <c r="E181" s="18"/>
    </row>
    <row r="182" customFormat="false" ht="15.8" hidden="false" customHeight="false" outlineLevel="0" collapsed="false">
      <c r="A182" s="17"/>
      <c r="E182" s="18"/>
    </row>
    <row r="183" customFormat="false" ht="15.8" hidden="false" customHeight="false" outlineLevel="0" collapsed="false">
      <c r="A183" s="17"/>
      <c r="E183" s="18"/>
    </row>
    <row r="184" customFormat="false" ht="15.8" hidden="false" customHeight="false" outlineLevel="0" collapsed="false">
      <c r="A184" s="17"/>
      <c r="E184" s="18"/>
    </row>
    <row r="185" customFormat="false" ht="15.8" hidden="false" customHeight="false" outlineLevel="0" collapsed="false">
      <c r="A185" s="17"/>
      <c r="E185" s="18"/>
    </row>
    <row r="186" customFormat="false" ht="15.8" hidden="false" customHeight="false" outlineLevel="0" collapsed="false">
      <c r="A186" s="17"/>
      <c r="E186" s="18"/>
    </row>
    <row r="187" customFormat="false" ht="15.8" hidden="false" customHeight="false" outlineLevel="0" collapsed="false">
      <c r="A187" s="17"/>
      <c r="E187" s="18"/>
    </row>
    <row r="188" customFormat="false" ht="15.8" hidden="false" customHeight="false" outlineLevel="0" collapsed="false">
      <c r="A188" s="17"/>
      <c r="E188" s="18"/>
    </row>
    <row r="189" customFormat="false" ht="15.8" hidden="false" customHeight="false" outlineLevel="0" collapsed="false">
      <c r="A189" s="17"/>
      <c r="E189" s="18"/>
    </row>
    <row r="190" customFormat="false" ht="15.8" hidden="false" customHeight="false" outlineLevel="0" collapsed="false">
      <c r="A190" s="17"/>
      <c r="E190" s="18"/>
    </row>
    <row r="191" customFormat="false" ht="15.8" hidden="false" customHeight="false" outlineLevel="0" collapsed="false">
      <c r="A191" s="17"/>
      <c r="E191" s="18"/>
    </row>
    <row r="192" customFormat="false" ht="15.8" hidden="false" customHeight="false" outlineLevel="0" collapsed="false">
      <c r="A192" s="17"/>
      <c r="E192" s="18"/>
    </row>
    <row r="193" customFormat="false" ht="15.8" hidden="false" customHeight="false" outlineLevel="0" collapsed="false">
      <c r="A193" s="17"/>
      <c r="E193" s="18"/>
    </row>
    <row r="194" customFormat="false" ht="15.8" hidden="false" customHeight="false" outlineLevel="0" collapsed="false">
      <c r="A194" s="17"/>
      <c r="E194" s="18"/>
    </row>
    <row r="195" customFormat="false" ht="15.8" hidden="false" customHeight="false" outlineLevel="0" collapsed="false">
      <c r="A195" s="17"/>
      <c r="E195" s="18"/>
    </row>
    <row r="196" customFormat="false" ht="15.8" hidden="false" customHeight="false" outlineLevel="0" collapsed="false">
      <c r="A196" s="17"/>
      <c r="E196" s="18"/>
    </row>
    <row r="197" customFormat="false" ht="15.8" hidden="false" customHeight="false" outlineLevel="0" collapsed="false">
      <c r="A197" s="17"/>
      <c r="E197" s="18"/>
    </row>
    <row r="198" customFormat="false" ht="15.8" hidden="false" customHeight="false" outlineLevel="0" collapsed="false">
      <c r="A198" s="17"/>
      <c r="E198" s="18"/>
    </row>
    <row r="199" customFormat="false" ht="15.8" hidden="false" customHeight="false" outlineLevel="0" collapsed="false">
      <c r="A199" s="17"/>
      <c r="E199" s="18"/>
    </row>
    <row r="200" customFormat="false" ht="15.8" hidden="false" customHeight="false" outlineLevel="0" collapsed="false">
      <c r="A200" s="17"/>
      <c r="E200" s="18"/>
    </row>
    <row r="201" customFormat="false" ht="15.8" hidden="false" customHeight="false" outlineLevel="0" collapsed="false">
      <c r="A201" s="17"/>
      <c r="E201" s="18"/>
    </row>
    <row r="202" customFormat="false" ht="15.8" hidden="false" customHeight="false" outlineLevel="0" collapsed="false">
      <c r="A202" s="17"/>
      <c r="E202" s="18"/>
    </row>
    <row r="203" customFormat="false" ht="15.8" hidden="false" customHeight="false" outlineLevel="0" collapsed="false">
      <c r="A203" s="17"/>
      <c r="E203" s="18"/>
    </row>
    <row r="204" customFormat="false" ht="15.8" hidden="false" customHeight="false" outlineLevel="0" collapsed="false">
      <c r="A204" s="17"/>
      <c r="E204" s="18"/>
    </row>
    <row r="205" customFormat="false" ht="15.8" hidden="false" customHeight="false" outlineLevel="0" collapsed="false">
      <c r="A205" s="17"/>
      <c r="E205" s="18"/>
    </row>
    <row r="206" customFormat="false" ht="15.8" hidden="false" customHeight="false" outlineLevel="0" collapsed="false">
      <c r="A206" s="17"/>
      <c r="E206" s="18"/>
    </row>
    <row r="207" customFormat="false" ht="15.8" hidden="false" customHeight="false" outlineLevel="0" collapsed="false">
      <c r="A207" s="17"/>
      <c r="E207" s="18"/>
    </row>
    <row r="208" customFormat="false" ht="15.8" hidden="false" customHeight="false" outlineLevel="0" collapsed="false">
      <c r="A208" s="17"/>
      <c r="E208" s="18"/>
    </row>
    <row r="209" customFormat="false" ht="15.8" hidden="false" customHeight="false" outlineLevel="0" collapsed="false">
      <c r="A209" s="17"/>
      <c r="E209" s="18"/>
    </row>
    <row r="210" customFormat="false" ht="15.8" hidden="false" customHeight="false" outlineLevel="0" collapsed="false">
      <c r="A210" s="17"/>
      <c r="E210" s="18"/>
    </row>
    <row r="211" customFormat="false" ht="15.8" hidden="false" customHeight="false" outlineLevel="0" collapsed="false">
      <c r="A211" s="17"/>
      <c r="E211" s="18"/>
    </row>
    <row r="212" customFormat="false" ht="15.8" hidden="false" customHeight="false" outlineLevel="0" collapsed="false">
      <c r="A212" s="17"/>
      <c r="E212" s="18"/>
    </row>
    <row r="213" customFormat="false" ht="15.8" hidden="false" customHeight="false" outlineLevel="0" collapsed="false">
      <c r="A213" s="17"/>
      <c r="E213" s="18"/>
    </row>
    <row r="214" customFormat="false" ht="15.8" hidden="false" customHeight="false" outlineLevel="0" collapsed="false">
      <c r="A214" s="17"/>
      <c r="E214" s="18"/>
    </row>
    <row r="215" customFormat="false" ht="15.8" hidden="false" customHeight="false" outlineLevel="0" collapsed="false">
      <c r="A215" s="17"/>
      <c r="E215" s="18"/>
    </row>
    <row r="216" customFormat="false" ht="15.8" hidden="false" customHeight="false" outlineLevel="0" collapsed="false">
      <c r="A216" s="17"/>
      <c r="E216" s="18"/>
    </row>
    <row r="217" customFormat="false" ht="15.8" hidden="false" customHeight="false" outlineLevel="0" collapsed="false">
      <c r="A217" s="17"/>
      <c r="E217" s="18"/>
    </row>
    <row r="218" customFormat="false" ht="15.8" hidden="false" customHeight="false" outlineLevel="0" collapsed="false">
      <c r="A218" s="17"/>
      <c r="E218" s="18"/>
    </row>
    <row r="219" customFormat="false" ht="15.8" hidden="false" customHeight="false" outlineLevel="0" collapsed="false">
      <c r="A219" s="17"/>
      <c r="E219" s="18"/>
    </row>
    <row r="220" customFormat="false" ht="15.8" hidden="false" customHeight="false" outlineLevel="0" collapsed="false">
      <c r="A220" s="17"/>
      <c r="E220" s="18"/>
    </row>
    <row r="221" customFormat="false" ht="15.8" hidden="false" customHeight="false" outlineLevel="0" collapsed="false">
      <c r="A221" s="17"/>
      <c r="E221" s="18"/>
    </row>
    <row r="222" customFormat="false" ht="15.8" hidden="false" customHeight="false" outlineLevel="0" collapsed="false">
      <c r="A222" s="17"/>
      <c r="E222" s="18"/>
    </row>
    <row r="223" customFormat="false" ht="15.8" hidden="false" customHeight="false" outlineLevel="0" collapsed="false">
      <c r="A223" s="17"/>
      <c r="E223" s="18"/>
    </row>
    <row r="224" customFormat="false" ht="15.8" hidden="false" customHeight="false" outlineLevel="0" collapsed="false">
      <c r="A224" s="17"/>
      <c r="E224" s="18"/>
    </row>
    <row r="225" customFormat="false" ht="15.8" hidden="false" customHeight="false" outlineLevel="0" collapsed="false">
      <c r="A225" s="17"/>
      <c r="E225" s="18"/>
    </row>
    <row r="226" customFormat="false" ht="15.8" hidden="false" customHeight="false" outlineLevel="0" collapsed="false">
      <c r="A226" s="17"/>
      <c r="E226" s="18"/>
    </row>
    <row r="227" customFormat="false" ht="15.8" hidden="false" customHeight="false" outlineLevel="0" collapsed="false">
      <c r="A227" s="17"/>
      <c r="E227" s="18"/>
    </row>
    <row r="228" customFormat="false" ht="15.8" hidden="false" customHeight="false" outlineLevel="0" collapsed="false">
      <c r="A228" s="17"/>
      <c r="E228" s="18"/>
    </row>
    <row r="229" customFormat="false" ht="15.8" hidden="false" customHeight="false" outlineLevel="0" collapsed="false">
      <c r="A229" s="17"/>
      <c r="E229" s="18"/>
    </row>
    <row r="230" customFormat="false" ht="15.8" hidden="false" customHeight="false" outlineLevel="0" collapsed="false">
      <c r="A230" s="17"/>
      <c r="E230" s="18"/>
    </row>
    <row r="231" customFormat="false" ht="15.8" hidden="false" customHeight="false" outlineLevel="0" collapsed="false">
      <c r="A231" s="17"/>
      <c r="E231" s="18"/>
    </row>
    <row r="232" customFormat="false" ht="15.8" hidden="false" customHeight="false" outlineLevel="0" collapsed="false">
      <c r="A232" s="17"/>
      <c r="E232" s="18"/>
    </row>
    <row r="233" customFormat="false" ht="15.8" hidden="false" customHeight="false" outlineLevel="0" collapsed="false">
      <c r="A233" s="17"/>
      <c r="E233" s="18"/>
    </row>
    <row r="234" customFormat="false" ht="15.8" hidden="false" customHeight="false" outlineLevel="0" collapsed="false">
      <c r="A234" s="17"/>
      <c r="E234" s="18"/>
    </row>
    <row r="235" customFormat="false" ht="15.8" hidden="false" customHeight="false" outlineLevel="0" collapsed="false">
      <c r="A235" s="17"/>
      <c r="E235" s="18"/>
    </row>
    <row r="236" customFormat="false" ht="15.8" hidden="false" customHeight="false" outlineLevel="0" collapsed="false">
      <c r="A236" s="17"/>
      <c r="E236" s="18"/>
    </row>
    <row r="237" customFormat="false" ht="15.8" hidden="false" customHeight="false" outlineLevel="0" collapsed="false">
      <c r="A237" s="17"/>
      <c r="E237" s="18"/>
    </row>
    <row r="238" customFormat="false" ht="15.8" hidden="false" customHeight="false" outlineLevel="0" collapsed="false">
      <c r="A238" s="17"/>
      <c r="E238" s="18"/>
    </row>
    <row r="239" customFormat="false" ht="15.8" hidden="false" customHeight="false" outlineLevel="0" collapsed="false">
      <c r="A239" s="17"/>
      <c r="E239" s="18"/>
    </row>
    <row r="240" customFormat="false" ht="15.8" hidden="false" customHeight="false" outlineLevel="0" collapsed="false">
      <c r="A240" s="17"/>
      <c r="E240" s="18"/>
    </row>
    <row r="241" customFormat="false" ht="15.8" hidden="false" customHeight="false" outlineLevel="0" collapsed="false">
      <c r="A241" s="17"/>
      <c r="E241" s="18"/>
    </row>
    <row r="242" customFormat="false" ht="15.8" hidden="false" customHeight="false" outlineLevel="0" collapsed="false">
      <c r="A242" s="17"/>
      <c r="E242" s="18"/>
    </row>
    <row r="243" customFormat="false" ht="15.8" hidden="false" customHeight="false" outlineLevel="0" collapsed="false">
      <c r="A243" s="17"/>
      <c r="E243" s="18"/>
    </row>
    <row r="244" customFormat="false" ht="15.8" hidden="false" customHeight="false" outlineLevel="0" collapsed="false">
      <c r="A244" s="17"/>
      <c r="E244" s="18"/>
    </row>
    <row r="245" customFormat="false" ht="15.8" hidden="false" customHeight="false" outlineLevel="0" collapsed="false">
      <c r="A245" s="17"/>
      <c r="E245" s="18"/>
    </row>
    <row r="246" customFormat="false" ht="15.8" hidden="false" customHeight="false" outlineLevel="0" collapsed="false">
      <c r="A246" s="17"/>
      <c r="E246" s="18"/>
    </row>
    <row r="247" customFormat="false" ht="15.8" hidden="false" customHeight="false" outlineLevel="0" collapsed="false">
      <c r="A247" s="17"/>
      <c r="E247" s="18"/>
    </row>
    <row r="248" customFormat="false" ht="15.8" hidden="false" customHeight="false" outlineLevel="0" collapsed="false">
      <c r="A248" s="17"/>
      <c r="E248" s="18"/>
    </row>
    <row r="249" customFormat="false" ht="15.8" hidden="false" customHeight="false" outlineLevel="0" collapsed="false">
      <c r="A249" s="17"/>
      <c r="E249" s="18"/>
    </row>
    <row r="250" customFormat="false" ht="15.8" hidden="false" customHeight="false" outlineLevel="0" collapsed="false">
      <c r="A250" s="17"/>
      <c r="E250" s="18"/>
    </row>
    <row r="251" customFormat="false" ht="15.8" hidden="false" customHeight="false" outlineLevel="0" collapsed="false">
      <c r="A251" s="17"/>
      <c r="E251" s="18"/>
    </row>
    <row r="252" customFormat="false" ht="15.8" hidden="false" customHeight="false" outlineLevel="0" collapsed="false">
      <c r="A252" s="17"/>
      <c r="E252" s="18"/>
    </row>
    <row r="253" customFormat="false" ht="15.8" hidden="false" customHeight="false" outlineLevel="0" collapsed="false">
      <c r="A253" s="17"/>
      <c r="E253" s="18"/>
    </row>
    <row r="254" customFormat="false" ht="15.8" hidden="false" customHeight="false" outlineLevel="0" collapsed="false">
      <c r="A254" s="17"/>
      <c r="E254" s="18"/>
    </row>
    <row r="255" customFormat="false" ht="15.8" hidden="false" customHeight="false" outlineLevel="0" collapsed="false">
      <c r="A255" s="17"/>
      <c r="E255" s="18"/>
    </row>
    <row r="256" customFormat="false" ht="15.8" hidden="false" customHeight="false" outlineLevel="0" collapsed="false">
      <c r="A256" s="17"/>
      <c r="E256" s="18"/>
    </row>
    <row r="257" customFormat="false" ht="15.8" hidden="false" customHeight="false" outlineLevel="0" collapsed="false">
      <c r="A257" s="17"/>
      <c r="E257" s="18"/>
    </row>
    <row r="258" customFormat="false" ht="15.8" hidden="false" customHeight="false" outlineLevel="0" collapsed="false">
      <c r="A258" s="17"/>
      <c r="E258" s="18"/>
    </row>
    <row r="259" customFormat="false" ht="15.8" hidden="false" customHeight="false" outlineLevel="0" collapsed="false">
      <c r="A259" s="17"/>
      <c r="E259" s="18"/>
    </row>
    <row r="260" customFormat="false" ht="15.8" hidden="false" customHeight="false" outlineLevel="0" collapsed="false">
      <c r="A260" s="17"/>
      <c r="E260" s="18"/>
    </row>
    <row r="261" customFormat="false" ht="15.8" hidden="false" customHeight="false" outlineLevel="0" collapsed="false">
      <c r="A261" s="17"/>
      <c r="E261" s="18"/>
    </row>
    <row r="262" customFormat="false" ht="15.8" hidden="false" customHeight="false" outlineLevel="0" collapsed="false">
      <c r="A262" s="17"/>
      <c r="E262" s="18"/>
    </row>
    <row r="263" customFormat="false" ht="15.8" hidden="false" customHeight="false" outlineLevel="0" collapsed="false">
      <c r="A263" s="17"/>
      <c r="E263" s="18"/>
    </row>
    <row r="264" customFormat="false" ht="15.8" hidden="false" customHeight="false" outlineLevel="0" collapsed="false">
      <c r="A264" s="17"/>
      <c r="E264" s="18"/>
    </row>
    <row r="265" customFormat="false" ht="15.8" hidden="false" customHeight="false" outlineLevel="0" collapsed="false">
      <c r="A265" s="17"/>
      <c r="E265" s="18"/>
    </row>
    <row r="266" customFormat="false" ht="15.8" hidden="false" customHeight="false" outlineLevel="0" collapsed="false">
      <c r="A266" s="17"/>
      <c r="E266" s="18"/>
    </row>
    <row r="267" customFormat="false" ht="15.8" hidden="false" customHeight="false" outlineLevel="0" collapsed="false">
      <c r="A267" s="17"/>
      <c r="E267" s="18"/>
    </row>
    <row r="268" customFormat="false" ht="15.8" hidden="false" customHeight="false" outlineLevel="0" collapsed="false">
      <c r="A268" s="17"/>
      <c r="E268" s="18"/>
    </row>
    <row r="269" customFormat="false" ht="15.8" hidden="false" customHeight="false" outlineLevel="0" collapsed="false">
      <c r="A269" s="17"/>
      <c r="E269" s="18"/>
    </row>
    <row r="270" customFormat="false" ht="15.8" hidden="false" customHeight="false" outlineLevel="0" collapsed="false">
      <c r="A270" s="17"/>
      <c r="E270" s="18"/>
    </row>
    <row r="271" customFormat="false" ht="15.8" hidden="false" customHeight="false" outlineLevel="0" collapsed="false">
      <c r="A271" s="17"/>
      <c r="E271" s="18"/>
    </row>
    <row r="272" customFormat="false" ht="15.8" hidden="false" customHeight="false" outlineLevel="0" collapsed="false">
      <c r="A272" s="17"/>
      <c r="E272" s="18"/>
    </row>
    <row r="273" customFormat="false" ht="15.8" hidden="false" customHeight="false" outlineLevel="0" collapsed="false">
      <c r="A273" s="17"/>
      <c r="E273" s="18"/>
    </row>
    <row r="274" customFormat="false" ht="15.8" hidden="false" customHeight="false" outlineLevel="0" collapsed="false">
      <c r="A274" s="17"/>
      <c r="E274" s="18"/>
    </row>
    <row r="275" customFormat="false" ht="15.8" hidden="false" customHeight="false" outlineLevel="0" collapsed="false">
      <c r="A275" s="17"/>
      <c r="E275" s="18"/>
    </row>
    <row r="276" customFormat="false" ht="15.8" hidden="false" customHeight="false" outlineLevel="0" collapsed="false">
      <c r="A276" s="17"/>
      <c r="E276" s="18"/>
    </row>
    <row r="277" customFormat="false" ht="15.8" hidden="false" customHeight="false" outlineLevel="0" collapsed="false">
      <c r="A277" s="17"/>
      <c r="E277" s="18"/>
    </row>
    <row r="278" customFormat="false" ht="15.8" hidden="false" customHeight="false" outlineLevel="0" collapsed="false">
      <c r="A278" s="17"/>
      <c r="E278" s="18"/>
    </row>
    <row r="279" customFormat="false" ht="15.8" hidden="false" customHeight="false" outlineLevel="0" collapsed="false">
      <c r="A279" s="17"/>
      <c r="E279" s="17"/>
    </row>
    <row r="280" customFormat="false" ht="15.8" hidden="false" customHeight="false" outlineLevel="0" collapsed="false">
      <c r="A280" s="17"/>
      <c r="E280" s="17"/>
    </row>
    <row r="281" customFormat="false" ht="15.8" hidden="false" customHeight="false" outlineLevel="0" collapsed="false">
      <c r="A281" s="17"/>
      <c r="E281" s="17"/>
    </row>
    <row r="282" customFormat="false" ht="15.8" hidden="false" customHeight="false" outlineLevel="0" collapsed="false">
      <c r="A282" s="17"/>
      <c r="E282" s="17"/>
    </row>
    <row r="283" customFormat="false" ht="15.8" hidden="false" customHeight="false" outlineLevel="0" collapsed="false">
      <c r="A283" s="17"/>
      <c r="E283" s="17"/>
    </row>
    <row r="284" customFormat="false" ht="15.8" hidden="false" customHeight="false" outlineLevel="0" collapsed="false">
      <c r="A284" s="17"/>
      <c r="E284" s="17"/>
    </row>
    <row r="285" customFormat="false" ht="15.8" hidden="false" customHeight="false" outlineLevel="0" collapsed="false">
      <c r="A285" s="17"/>
      <c r="E285" s="17"/>
    </row>
    <row r="286" customFormat="false" ht="15.8" hidden="false" customHeight="false" outlineLevel="0" collapsed="false">
      <c r="A286" s="17"/>
      <c r="E286" s="17"/>
    </row>
    <row r="287" customFormat="false" ht="15.8" hidden="false" customHeight="false" outlineLevel="0" collapsed="false">
      <c r="A287" s="17"/>
      <c r="E287" s="17"/>
    </row>
    <row r="288" customFormat="false" ht="15.8" hidden="false" customHeight="false" outlineLevel="0" collapsed="false">
      <c r="A288" s="17"/>
      <c r="E288" s="17"/>
    </row>
    <row r="289" customFormat="false" ht="15.8" hidden="false" customHeight="false" outlineLevel="0" collapsed="false">
      <c r="A289" s="17"/>
      <c r="E289" s="17"/>
    </row>
    <row r="290" customFormat="false" ht="15.8" hidden="false" customHeight="false" outlineLevel="0" collapsed="false">
      <c r="A290" s="17"/>
      <c r="E290" s="17"/>
    </row>
    <row r="291" customFormat="false" ht="15.8" hidden="false" customHeight="false" outlineLevel="0" collapsed="false">
      <c r="A291" s="17"/>
      <c r="E291" s="17"/>
    </row>
    <row r="292" customFormat="false" ht="15.8" hidden="false" customHeight="false" outlineLevel="0" collapsed="false">
      <c r="A292" s="17"/>
      <c r="E292" s="17"/>
    </row>
    <row r="293" customFormat="false" ht="15.8" hidden="false" customHeight="false" outlineLevel="0" collapsed="false">
      <c r="A293" s="17"/>
      <c r="E293" s="17"/>
    </row>
    <row r="294" customFormat="false" ht="15.8" hidden="false" customHeight="false" outlineLevel="0" collapsed="false">
      <c r="A294" s="17"/>
      <c r="E294" s="17"/>
    </row>
    <row r="295" customFormat="false" ht="15.8" hidden="false" customHeight="false" outlineLevel="0" collapsed="false">
      <c r="A295" s="17"/>
      <c r="E295" s="17"/>
    </row>
    <row r="296" customFormat="false" ht="15.8" hidden="false" customHeight="false" outlineLevel="0" collapsed="false">
      <c r="A296" s="17"/>
      <c r="E296" s="17"/>
    </row>
    <row r="297" customFormat="false" ht="15.8" hidden="false" customHeight="false" outlineLevel="0" collapsed="false">
      <c r="A297" s="17"/>
      <c r="E297" s="17"/>
    </row>
    <row r="298" customFormat="false" ht="15.8" hidden="false" customHeight="false" outlineLevel="0" collapsed="false">
      <c r="A298" s="17"/>
      <c r="E298" s="17"/>
    </row>
    <row r="299" customFormat="false" ht="15.8" hidden="false" customHeight="false" outlineLevel="0" collapsed="false">
      <c r="A299" s="17"/>
      <c r="E299" s="17"/>
    </row>
    <row r="300" customFormat="false" ht="15.8" hidden="false" customHeight="false" outlineLevel="0" collapsed="false">
      <c r="A300" s="17"/>
      <c r="E300" s="17"/>
    </row>
    <row r="301" customFormat="false" ht="15.8" hidden="false" customHeight="false" outlineLevel="0" collapsed="false">
      <c r="A301" s="17"/>
      <c r="E301" s="17"/>
    </row>
    <row r="302" customFormat="false" ht="15.8" hidden="false" customHeight="false" outlineLevel="0" collapsed="false">
      <c r="A302" s="17"/>
      <c r="E302" s="17"/>
    </row>
    <row r="303" customFormat="false" ht="15.8" hidden="false" customHeight="false" outlineLevel="0" collapsed="false">
      <c r="A303" s="17"/>
      <c r="E303" s="17"/>
    </row>
    <row r="304" customFormat="false" ht="15.8" hidden="false" customHeight="false" outlineLevel="0" collapsed="false">
      <c r="A304" s="17"/>
      <c r="E304" s="17"/>
    </row>
    <row r="305" customFormat="false" ht="15.8" hidden="false" customHeight="false" outlineLevel="0" collapsed="false">
      <c r="A305" s="17"/>
      <c r="E305" s="17"/>
    </row>
    <row r="306" customFormat="false" ht="15.8" hidden="false" customHeight="false" outlineLevel="0" collapsed="false">
      <c r="A306" s="17"/>
      <c r="E306" s="17"/>
    </row>
    <row r="307" customFormat="false" ht="15.8" hidden="false" customHeight="false" outlineLevel="0" collapsed="false">
      <c r="A307" s="17"/>
      <c r="E307" s="17"/>
    </row>
    <row r="308" customFormat="false" ht="15.8" hidden="false" customHeight="false" outlineLevel="0" collapsed="false">
      <c r="A308" s="17"/>
      <c r="E308" s="17"/>
    </row>
    <row r="309" customFormat="false" ht="15.8" hidden="false" customHeight="false" outlineLevel="0" collapsed="false">
      <c r="A309" s="17"/>
      <c r="E309" s="17"/>
    </row>
    <row r="310" customFormat="false" ht="15.8" hidden="false" customHeight="false" outlineLevel="0" collapsed="false">
      <c r="A310" s="17"/>
      <c r="E310" s="17"/>
    </row>
    <row r="311" customFormat="false" ht="15.8" hidden="false" customHeight="false" outlineLevel="0" collapsed="false">
      <c r="A311" s="17"/>
      <c r="E311" s="17"/>
    </row>
    <row r="312" customFormat="false" ht="15.8" hidden="false" customHeight="false" outlineLevel="0" collapsed="false">
      <c r="A312" s="17"/>
      <c r="E312" s="17"/>
    </row>
    <row r="313" customFormat="false" ht="15.8" hidden="false" customHeight="false" outlineLevel="0" collapsed="false">
      <c r="A313" s="17"/>
      <c r="E313" s="17"/>
    </row>
    <row r="314" customFormat="false" ht="15.8" hidden="false" customHeight="false" outlineLevel="0" collapsed="false">
      <c r="A314" s="17"/>
      <c r="E314" s="17"/>
    </row>
    <row r="315" customFormat="false" ht="15.8" hidden="false" customHeight="false" outlineLevel="0" collapsed="false">
      <c r="A315" s="17"/>
      <c r="E315" s="17"/>
    </row>
    <row r="316" customFormat="false" ht="15.8" hidden="false" customHeight="false" outlineLevel="0" collapsed="false">
      <c r="A316" s="17"/>
      <c r="E316" s="17"/>
    </row>
    <row r="317" customFormat="false" ht="15.8" hidden="false" customHeight="false" outlineLevel="0" collapsed="false">
      <c r="A317" s="17"/>
      <c r="E317" s="17"/>
    </row>
    <row r="318" customFormat="false" ht="15.8" hidden="false" customHeight="false" outlineLevel="0" collapsed="false">
      <c r="A318" s="17"/>
      <c r="E318" s="17"/>
    </row>
    <row r="319" customFormat="false" ht="15.8" hidden="false" customHeight="false" outlineLevel="0" collapsed="false">
      <c r="A319" s="17"/>
      <c r="E319" s="17"/>
    </row>
    <row r="320" customFormat="false" ht="15.8" hidden="false" customHeight="false" outlineLevel="0" collapsed="false">
      <c r="A320" s="17"/>
      <c r="E320" s="17"/>
    </row>
    <row r="321" customFormat="false" ht="15.8" hidden="false" customHeight="false" outlineLevel="0" collapsed="false">
      <c r="A321" s="17"/>
      <c r="E321" s="17"/>
    </row>
    <row r="322" customFormat="false" ht="15.8" hidden="false" customHeight="false" outlineLevel="0" collapsed="false">
      <c r="A322" s="17"/>
      <c r="E322" s="17"/>
    </row>
    <row r="323" customFormat="false" ht="15.8" hidden="false" customHeight="false" outlineLevel="0" collapsed="false">
      <c r="A323" s="17"/>
      <c r="E323" s="17"/>
    </row>
    <row r="324" customFormat="false" ht="15.8" hidden="false" customHeight="false" outlineLevel="0" collapsed="false">
      <c r="A324" s="17"/>
      <c r="E324" s="17"/>
    </row>
    <row r="325" customFormat="false" ht="15.8" hidden="false" customHeight="false" outlineLevel="0" collapsed="false">
      <c r="A325" s="17"/>
      <c r="E325" s="17"/>
    </row>
    <row r="326" customFormat="false" ht="15.8" hidden="false" customHeight="false" outlineLevel="0" collapsed="false">
      <c r="A326" s="17"/>
      <c r="E326" s="17"/>
    </row>
    <row r="327" customFormat="false" ht="15.8" hidden="false" customHeight="false" outlineLevel="0" collapsed="false">
      <c r="A327" s="17"/>
      <c r="E327" s="17"/>
    </row>
    <row r="328" customFormat="false" ht="15.8" hidden="false" customHeight="false" outlineLevel="0" collapsed="false">
      <c r="A328" s="17"/>
      <c r="E328" s="17"/>
    </row>
    <row r="329" customFormat="false" ht="15.8" hidden="false" customHeight="false" outlineLevel="0" collapsed="false">
      <c r="A329" s="17"/>
      <c r="E329" s="17"/>
    </row>
    <row r="330" customFormat="false" ht="15.8" hidden="false" customHeight="false" outlineLevel="0" collapsed="false">
      <c r="A330" s="17"/>
      <c r="E330" s="17"/>
    </row>
    <row r="1044430" customFormat="false" ht="12.8" hidden="false" customHeight="false" outlineLevel="0" collapsed="false"/>
    <row r="1044431" customFormat="false" ht="12.8" hidden="false" customHeight="false" outlineLevel="0" collapsed="false"/>
    <row r="1044432" customFormat="false" ht="12.8" hidden="false" customHeight="false" outlineLevel="0" collapsed="false"/>
    <row r="1044433" customFormat="false" ht="12.8" hidden="false" customHeight="false" outlineLevel="0" collapsed="false"/>
    <row r="1044434" customFormat="false" ht="12.8" hidden="false" customHeight="false" outlineLevel="0" collapsed="false"/>
    <row r="1044435" customFormat="false" ht="12.8" hidden="false" customHeight="false" outlineLevel="0" collapsed="false"/>
    <row r="1044436" customFormat="false" ht="12.8" hidden="false" customHeight="false" outlineLevel="0" collapsed="false"/>
    <row r="1044437" customFormat="false" ht="12.8" hidden="false" customHeight="false" outlineLevel="0" collapsed="false"/>
    <row r="1044438" customFormat="false" ht="12.8" hidden="false" customHeight="false" outlineLevel="0" collapsed="false"/>
    <row r="1044439" customFormat="false" ht="12.8" hidden="false" customHeight="false" outlineLevel="0" collapsed="false"/>
    <row r="1044440" customFormat="false" ht="12.8" hidden="false" customHeight="false" outlineLevel="0" collapsed="false"/>
    <row r="1044441" customFormat="false" ht="12.8" hidden="false" customHeight="false" outlineLevel="0" collapsed="false"/>
    <row r="1044442" customFormat="false" ht="12.8" hidden="false" customHeight="false" outlineLevel="0" collapsed="false"/>
    <row r="1044443" customFormat="false" ht="12.8" hidden="false" customHeight="false" outlineLevel="0" collapsed="false"/>
    <row r="1044444" customFormat="false" ht="12.8" hidden="false" customHeight="false" outlineLevel="0" collapsed="false"/>
    <row r="1044445" customFormat="false" ht="12.8" hidden="false" customHeight="false" outlineLevel="0" collapsed="false"/>
    <row r="1044446" customFormat="false" ht="12.8" hidden="false" customHeight="false" outlineLevel="0" collapsed="false"/>
    <row r="1044447" customFormat="false" ht="12.8" hidden="false" customHeight="false" outlineLevel="0" collapsed="false"/>
    <row r="1044448" customFormat="false" ht="12.8" hidden="false" customHeight="false" outlineLevel="0" collapsed="false"/>
    <row r="1044449" customFormat="false" ht="12.8" hidden="false" customHeight="false" outlineLevel="0" collapsed="false"/>
    <row r="1044450" customFormat="false" ht="12.8" hidden="false" customHeight="false" outlineLevel="0" collapsed="false"/>
    <row r="1044451" customFormat="false" ht="12.8" hidden="false" customHeight="false" outlineLevel="0" collapsed="false"/>
    <row r="1044452" customFormat="false" ht="12.8" hidden="false" customHeight="false" outlineLevel="0" collapsed="false"/>
    <row r="1044453" customFormat="false" ht="12.8" hidden="false" customHeight="false" outlineLevel="0" collapsed="false"/>
    <row r="1044454" customFormat="false" ht="12.8" hidden="false" customHeight="false" outlineLevel="0" collapsed="false"/>
    <row r="1044455" customFormat="false" ht="12.8" hidden="false" customHeight="false" outlineLevel="0" collapsed="false"/>
    <row r="1044456" customFormat="false" ht="12.8" hidden="false" customHeight="false" outlineLevel="0" collapsed="false"/>
    <row r="1044457" customFormat="false" ht="12.8" hidden="false" customHeight="false" outlineLevel="0" collapsed="false"/>
    <row r="1044458" customFormat="false" ht="12.8" hidden="false" customHeight="false" outlineLevel="0" collapsed="false"/>
    <row r="1044459" customFormat="false" ht="12.8" hidden="false" customHeight="false" outlineLevel="0" collapsed="false"/>
    <row r="1044460" customFormat="false" ht="12.8" hidden="false" customHeight="false" outlineLevel="0" collapsed="false"/>
    <row r="1044461" customFormat="false" ht="12.8" hidden="false" customHeight="false" outlineLevel="0" collapsed="false"/>
    <row r="1044462" customFormat="false" ht="12.8" hidden="false" customHeight="false" outlineLevel="0" collapsed="false"/>
    <row r="1044463" customFormat="false" ht="12.8" hidden="false" customHeight="false" outlineLevel="0" collapsed="false"/>
    <row r="1044464" customFormat="false" ht="12.8" hidden="false" customHeight="false" outlineLevel="0" collapsed="false"/>
    <row r="1044465" customFormat="false" ht="12.8" hidden="false" customHeight="false" outlineLevel="0" collapsed="false"/>
    <row r="1044466" customFormat="false" ht="12.8" hidden="false" customHeight="false" outlineLevel="0" collapsed="false"/>
    <row r="1044467" customFormat="false" ht="12.8" hidden="false" customHeight="false" outlineLevel="0" collapsed="false"/>
    <row r="1044468" customFormat="false" ht="12.8" hidden="false" customHeight="false" outlineLevel="0" collapsed="false"/>
    <row r="1044469" customFormat="false" ht="12.8" hidden="false" customHeight="false" outlineLevel="0" collapsed="false"/>
    <row r="1044470" customFormat="false" ht="12.8" hidden="false" customHeight="false" outlineLevel="0" collapsed="false"/>
    <row r="1044471" customFormat="false" ht="12.8" hidden="false" customHeight="false" outlineLevel="0" collapsed="false"/>
    <row r="1044472" customFormat="false" ht="12.8" hidden="false" customHeight="false" outlineLevel="0" collapsed="false"/>
    <row r="1044473" customFormat="false" ht="12.8" hidden="false" customHeight="false" outlineLevel="0" collapsed="false"/>
    <row r="1044474" customFormat="false" ht="12.8" hidden="false" customHeight="false" outlineLevel="0" collapsed="false"/>
    <row r="1044475" customFormat="false" ht="12.8" hidden="false" customHeight="false" outlineLevel="0" collapsed="false"/>
    <row r="1044476" customFormat="false" ht="12.8" hidden="false" customHeight="false" outlineLevel="0" collapsed="false"/>
    <row r="1044477" customFormat="false" ht="12.8" hidden="false" customHeight="false" outlineLevel="0" collapsed="false"/>
    <row r="1044478" customFormat="false" ht="12.8" hidden="false" customHeight="false" outlineLevel="0" collapsed="false"/>
    <row r="1044479" customFormat="false" ht="12.8" hidden="false" customHeight="false" outlineLevel="0" collapsed="false"/>
    <row r="1044480" customFormat="false" ht="12.8" hidden="false" customHeight="false" outlineLevel="0" collapsed="false"/>
    <row r="1044481" customFormat="false" ht="12.8" hidden="false" customHeight="false" outlineLevel="0" collapsed="false"/>
    <row r="1044482" customFormat="false" ht="12.8" hidden="false" customHeight="false" outlineLevel="0" collapsed="false"/>
    <row r="1044483" customFormat="false" ht="12.8" hidden="false" customHeight="false" outlineLevel="0" collapsed="false"/>
    <row r="1044484" customFormat="false" ht="12.8" hidden="false" customHeight="false" outlineLevel="0" collapsed="false"/>
    <row r="1044485" customFormat="false" ht="12.8" hidden="false" customHeight="false" outlineLevel="0" collapsed="false"/>
    <row r="1044486" customFormat="false" ht="12.8" hidden="false" customHeight="false" outlineLevel="0" collapsed="false"/>
    <row r="1044487" customFormat="false" ht="12.8" hidden="false" customHeight="false" outlineLevel="0" collapsed="false"/>
    <row r="1044488" customFormat="false" ht="12.8" hidden="false" customHeight="false" outlineLevel="0" collapsed="false"/>
    <row r="1044489" customFormat="false" ht="12.8" hidden="false" customHeight="false" outlineLevel="0" collapsed="false"/>
    <row r="1044490" customFormat="false" ht="12.8" hidden="false" customHeight="false" outlineLevel="0" collapsed="false"/>
    <row r="1044491" customFormat="false" ht="12.8" hidden="false" customHeight="false" outlineLevel="0" collapsed="false"/>
    <row r="1044492" customFormat="false" ht="12.8" hidden="false" customHeight="false" outlineLevel="0" collapsed="false"/>
    <row r="1044493" customFormat="false" ht="12.8" hidden="false" customHeight="false" outlineLevel="0" collapsed="false"/>
    <row r="1044494" customFormat="false" ht="12.8" hidden="false" customHeight="false" outlineLevel="0" collapsed="false"/>
    <row r="1044495" customFormat="false" ht="12.8" hidden="false" customHeight="false" outlineLevel="0" collapsed="false"/>
    <row r="1044496" customFormat="false" ht="12.8" hidden="false" customHeight="false" outlineLevel="0" collapsed="false"/>
    <row r="1044497" customFormat="false" ht="12.8" hidden="false" customHeight="false" outlineLevel="0" collapsed="false"/>
    <row r="1044498" customFormat="false" ht="12.8" hidden="false" customHeight="false" outlineLevel="0" collapsed="false"/>
    <row r="1044499" customFormat="false" ht="12.8" hidden="false" customHeight="false" outlineLevel="0" collapsed="false"/>
    <row r="1044500" customFormat="false" ht="12.8" hidden="false" customHeight="false" outlineLevel="0" collapsed="false"/>
    <row r="1044501" customFormat="false" ht="12.8" hidden="false" customHeight="false" outlineLevel="0" collapsed="false"/>
    <row r="1044502" customFormat="false" ht="12.8" hidden="false" customHeight="false" outlineLevel="0" collapsed="false"/>
    <row r="1044503" customFormat="false" ht="12.8" hidden="false" customHeight="false" outlineLevel="0" collapsed="false"/>
    <row r="1044504" customFormat="false" ht="12.8" hidden="false" customHeight="false" outlineLevel="0" collapsed="false"/>
    <row r="1044505" customFormat="false" ht="12.8" hidden="false" customHeight="false" outlineLevel="0" collapsed="false"/>
    <row r="1044506" customFormat="false" ht="12.8" hidden="false" customHeight="false" outlineLevel="0" collapsed="false"/>
    <row r="1044507" customFormat="false" ht="12.8" hidden="false" customHeight="false" outlineLevel="0" collapsed="false"/>
    <row r="1044508" customFormat="false" ht="12.8" hidden="false" customHeight="false" outlineLevel="0" collapsed="false"/>
    <row r="1044509" customFormat="false" ht="12.8" hidden="false" customHeight="false" outlineLevel="0" collapsed="false"/>
    <row r="1044510" customFormat="false" ht="12.8" hidden="false" customHeight="false" outlineLevel="0" collapsed="false"/>
    <row r="1044511" customFormat="false" ht="12.8" hidden="false" customHeight="false" outlineLevel="0" collapsed="false"/>
    <row r="1044512" customFormat="false" ht="12.8" hidden="false" customHeight="false" outlineLevel="0" collapsed="false"/>
    <row r="1044513" customFormat="false" ht="12.8" hidden="false" customHeight="false" outlineLevel="0" collapsed="false"/>
    <row r="1044514" customFormat="false" ht="12.8" hidden="false" customHeight="false" outlineLevel="0" collapsed="false"/>
    <row r="1044515" customFormat="false" ht="12.8" hidden="false" customHeight="false" outlineLevel="0" collapsed="false"/>
    <row r="1044516" customFormat="false" ht="12.8" hidden="false" customHeight="false" outlineLevel="0" collapsed="false"/>
    <row r="1044517" customFormat="false" ht="12.8" hidden="false" customHeight="false" outlineLevel="0" collapsed="false"/>
    <row r="1044518" customFormat="false" ht="12.8" hidden="false" customHeight="false" outlineLevel="0" collapsed="false"/>
    <row r="1044519" customFormat="false" ht="12.8" hidden="false" customHeight="false" outlineLevel="0" collapsed="false"/>
    <row r="1044520" customFormat="false" ht="12.8" hidden="false" customHeight="false" outlineLevel="0" collapsed="false"/>
    <row r="1044521" customFormat="false" ht="12.8" hidden="false" customHeight="false" outlineLevel="0" collapsed="false"/>
    <row r="1044522" customFormat="false" ht="12.8" hidden="false" customHeight="false" outlineLevel="0" collapsed="false"/>
    <row r="1044523" customFormat="false" ht="12.8" hidden="false" customHeight="false" outlineLevel="0" collapsed="false"/>
    <row r="1044524" customFormat="false" ht="12.8" hidden="false" customHeight="false" outlineLevel="0" collapsed="false"/>
    <row r="1044525" customFormat="false" ht="12.8" hidden="false" customHeight="false" outlineLevel="0" collapsed="false"/>
    <row r="1044526" customFormat="false" ht="12.8" hidden="false" customHeight="false" outlineLevel="0" collapsed="false"/>
    <row r="1044527" customFormat="false" ht="12.8" hidden="false" customHeight="false" outlineLevel="0" collapsed="false"/>
    <row r="1044528" customFormat="false" ht="12.8" hidden="false" customHeight="false" outlineLevel="0" collapsed="false"/>
    <row r="1044529" customFormat="false" ht="12.8" hidden="false" customHeight="false" outlineLevel="0" collapsed="false"/>
    <row r="1044530" customFormat="false" ht="12.8" hidden="false" customHeight="false" outlineLevel="0" collapsed="false"/>
    <row r="1044531" customFormat="false" ht="12.8" hidden="false" customHeight="false" outlineLevel="0" collapsed="false"/>
    <row r="1044532" customFormat="false" ht="12.8" hidden="false" customHeight="false" outlineLevel="0" collapsed="false"/>
    <row r="1044533" customFormat="false" ht="12.8" hidden="false" customHeight="false" outlineLevel="0" collapsed="false"/>
    <row r="1044534" customFormat="false" ht="12.8" hidden="false" customHeight="false" outlineLevel="0" collapsed="false"/>
    <row r="1044535" customFormat="false" ht="12.8" hidden="false" customHeight="false" outlineLevel="0" collapsed="false"/>
    <row r="1044536" customFormat="false" ht="12.8" hidden="false" customHeight="false" outlineLevel="0" collapsed="false"/>
    <row r="1044537" customFormat="false" ht="12.8" hidden="false" customHeight="false" outlineLevel="0" collapsed="false"/>
    <row r="1044538" customFormat="false" ht="12.8" hidden="false" customHeight="false" outlineLevel="0" collapsed="false"/>
    <row r="1044539" customFormat="false" ht="12.8" hidden="false" customHeight="false" outlineLevel="0" collapsed="false"/>
    <row r="1044540" customFormat="false" ht="12.8" hidden="false" customHeight="false" outlineLevel="0" collapsed="false"/>
    <row r="1044541" customFormat="false" ht="12.8" hidden="false" customHeight="false" outlineLevel="0" collapsed="false"/>
    <row r="1044542" customFormat="false" ht="12.8" hidden="false" customHeight="false" outlineLevel="0" collapsed="false"/>
    <row r="1044543" customFormat="false" ht="12.8" hidden="false" customHeight="false" outlineLevel="0" collapsed="false"/>
    <row r="1044544" customFormat="false" ht="12.8" hidden="false" customHeight="false" outlineLevel="0" collapsed="false"/>
    <row r="1044545" customFormat="false" ht="12.8" hidden="false" customHeight="false" outlineLevel="0" collapsed="false"/>
    <row r="1044546" customFormat="false" ht="12.8" hidden="false" customHeight="false" outlineLevel="0" collapsed="false"/>
    <row r="1044547" customFormat="false" ht="12.8" hidden="false" customHeight="false" outlineLevel="0" collapsed="false"/>
    <row r="1044548" customFormat="false" ht="12.8" hidden="false" customHeight="false" outlineLevel="0" collapsed="false"/>
    <row r="1044549" customFormat="false" ht="12.8" hidden="false" customHeight="false" outlineLevel="0" collapsed="false"/>
    <row r="1044550" customFormat="false" ht="12.8" hidden="false" customHeight="false" outlineLevel="0" collapsed="false"/>
    <row r="1044551" customFormat="false" ht="12.8" hidden="false" customHeight="false" outlineLevel="0" collapsed="false"/>
    <row r="1044552" customFormat="false" ht="12.8" hidden="false" customHeight="false" outlineLevel="0" collapsed="false"/>
    <row r="1044553" customFormat="false" ht="12.8" hidden="false" customHeight="false" outlineLevel="0" collapsed="false"/>
    <row r="1044554" customFormat="false" ht="12.8" hidden="false" customHeight="false" outlineLevel="0" collapsed="false"/>
    <row r="1044555" customFormat="false" ht="12.8" hidden="false" customHeight="false" outlineLevel="0" collapsed="false"/>
    <row r="1044556" customFormat="false" ht="12.8" hidden="false" customHeight="false" outlineLevel="0" collapsed="false"/>
    <row r="1044557" customFormat="false" ht="12.8" hidden="false" customHeight="false" outlineLevel="0" collapsed="false"/>
    <row r="1044558" customFormat="false" ht="12.8" hidden="false" customHeight="false" outlineLevel="0" collapsed="false"/>
    <row r="1044559" customFormat="false" ht="12.8" hidden="false" customHeight="false" outlineLevel="0" collapsed="false"/>
    <row r="1044560" customFormat="false" ht="12.8" hidden="false" customHeight="false" outlineLevel="0" collapsed="false"/>
    <row r="1044561" customFormat="false" ht="12.8" hidden="false" customHeight="false" outlineLevel="0" collapsed="false"/>
    <row r="1044562" customFormat="false" ht="12.8" hidden="false" customHeight="false" outlineLevel="0" collapsed="false"/>
    <row r="1044563" customFormat="false" ht="12.8" hidden="false" customHeight="false" outlineLevel="0" collapsed="false"/>
    <row r="1044564" customFormat="false" ht="12.8" hidden="false" customHeight="false" outlineLevel="0" collapsed="false"/>
    <row r="1044565" customFormat="false" ht="12.8" hidden="false" customHeight="false" outlineLevel="0" collapsed="false"/>
    <row r="1044566" customFormat="false" ht="12.8" hidden="false" customHeight="false" outlineLevel="0" collapsed="false"/>
    <row r="1044567" customFormat="false" ht="12.8" hidden="false" customHeight="false" outlineLevel="0" collapsed="false"/>
    <row r="1044568" customFormat="false" ht="12.8" hidden="false" customHeight="false" outlineLevel="0" collapsed="false"/>
    <row r="1044569" customFormat="false" ht="12.8" hidden="false" customHeight="false" outlineLevel="0" collapsed="false"/>
    <row r="1044570" customFormat="false" ht="12.8" hidden="false" customHeight="false" outlineLevel="0" collapsed="false"/>
    <row r="1044571" customFormat="false" ht="12.8" hidden="false" customHeight="false" outlineLevel="0" collapsed="false"/>
    <row r="1044572" customFormat="false" ht="12.8" hidden="false" customHeight="false" outlineLevel="0" collapsed="false"/>
    <row r="1044573" customFormat="false" ht="12.8" hidden="false" customHeight="false" outlineLevel="0" collapsed="false"/>
    <row r="1044574" customFormat="false" ht="12.8" hidden="false" customHeight="false" outlineLevel="0" collapsed="false"/>
    <row r="1044575" customFormat="false" ht="12.8" hidden="false" customHeight="false" outlineLevel="0" collapsed="false"/>
    <row r="1044576" customFormat="false" ht="12.8" hidden="false" customHeight="false" outlineLevel="0" collapsed="false"/>
    <row r="1044577" customFormat="false" ht="12.8" hidden="false" customHeight="false" outlineLevel="0" collapsed="false"/>
    <row r="1044578" customFormat="false" ht="12.8" hidden="false" customHeight="false" outlineLevel="0" collapsed="false"/>
    <row r="1044579" customFormat="false" ht="12.8" hidden="false" customHeight="false" outlineLevel="0" collapsed="false"/>
    <row r="1044580" customFormat="false" ht="12.8" hidden="false" customHeight="false" outlineLevel="0" collapsed="false"/>
    <row r="1044581" customFormat="false" ht="12.8" hidden="false" customHeight="false" outlineLevel="0" collapsed="false"/>
    <row r="1044582" customFormat="false" ht="12.8" hidden="false" customHeight="false" outlineLevel="0" collapsed="false"/>
    <row r="1044583" customFormat="false" ht="12.8" hidden="false" customHeight="false" outlineLevel="0" collapsed="false"/>
    <row r="1044584" customFormat="false" ht="12.8" hidden="false" customHeight="false" outlineLevel="0" collapsed="false"/>
    <row r="1044585" customFormat="false" ht="12.8" hidden="false" customHeight="false" outlineLevel="0" collapsed="false"/>
    <row r="1044586" customFormat="false" ht="12.8" hidden="false" customHeight="false" outlineLevel="0" collapsed="false"/>
    <row r="1044587" customFormat="false" ht="12.8" hidden="false" customHeight="false" outlineLevel="0" collapsed="false"/>
    <row r="1044588" customFormat="false" ht="12.8" hidden="false" customHeight="false" outlineLevel="0" collapsed="false"/>
    <row r="1044589" customFormat="false" ht="12.8" hidden="false" customHeight="false" outlineLevel="0" collapsed="false"/>
    <row r="1044590" customFormat="false" ht="12.8" hidden="false" customHeight="false" outlineLevel="0" collapsed="false"/>
    <row r="1044591" customFormat="false" ht="12.8" hidden="false" customHeight="false" outlineLevel="0" collapsed="false"/>
    <row r="1044592" customFormat="false" ht="12.8" hidden="false" customHeight="false" outlineLevel="0" collapsed="false"/>
    <row r="1044593" customFormat="false" ht="12.8" hidden="false" customHeight="false" outlineLevel="0" collapsed="false"/>
    <row r="1044594" customFormat="false" ht="12.8" hidden="false" customHeight="false" outlineLevel="0" collapsed="false"/>
    <row r="1044595" customFormat="false" ht="12.8" hidden="false" customHeight="false" outlineLevel="0" collapsed="false"/>
    <row r="1044596" customFormat="false" ht="12.8" hidden="false" customHeight="false" outlineLevel="0" collapsed="false"/>
    <row r="1044597" customFormat="false" ht="12.8" hidden="false" customHeight="false" outlineLevel="0" collapsed="false"/>
    <row r="1044598" customFormat="false" ht="12.8" hidden="false" customHeight="false" outlineLevel="0" collapsed="false"/>
    <row r="1044599" customFormat="false" ht="12.8" hidden="false" customHeight="false" outlineLevel="0" collapsed="false"/>
    <row r="1044600" customFormat="false" ht="12.8" hidden="false" customHeight="false" outlineLevel="0" collapsed="false"/>
    <row r="1044601" customFormat="false" ht="12.8" hidden="false" customHeight="false" outlineLevel="0" collapsed="false"/>
    <row r="1044602" customFormat="false" ht="12.8" hidden="false" customHeight="false" outlineLevel="0" collapsed="false"/>
    <row r="1044603" customFormat="false" ht="12.8" hidden="false" customHeight="false" outlineLevel="0" collapsed="false"/>
    <row r="1044604" customFormat="false" ht="12.8" hidden="false" customHeight="false" outlineLevel="0" collapsed="false"/>
    <row r="1044605" customFormat="false" ht="12.8" hidden="false" customHeight="false" outlineLevel="0" collapsed="false"/>
    <row r="1044606" customFormat="false" ht="12.8" hidden="false" customHeight="false" outlineLevel="0" collapsed="false"/>
    <row r="1044607" customFormat="false" ht="12.8" hidden="false" customHeight="false" outlineLevel="0" collapsed="false"/>
    <row r="1044608" customFormat="false" ht="12.8" hidden="false" customHeight="false" outlineLevel="0" collapsed="false"/>
    <row r="1044609" customFormat="false" ht="12.8" hidden="false" customHeight="false" outlineLevel="0" collapsed="false"/>
    <row r="1044610" customFormat="false" ht="12.8" hidden="false" customHeight="false" outlineLevel="0" collapsed="false"/>
    <row r="1044611" customFormat="false" ht="12.8" hidden="false" customHeight="false" outlineLevel="0" collapsed="false"/>
    <row r="1044612" customFormat="false" ht="12.8" hidden="false" customHeight="false" outlineLevel="0" collapsed="false"/>
    <row r="1044613" customFormat="false" ht="12.8" hidden="false" customHeight="false" outlineLevel="0" collapsed="false"/>
    <row r="1044614" customFormat="false" ht="12.8" hidden="false" customHeight="false" outlineLevel="0" collapsed="false"/>
    <row r="1044615" customFormat="false" ht="12.8" hidden="false" customHeight="false" outlineLevel="0" collapsed="false"/>
    <row r="1044616" customFormat="false" ht="12.8" hidden="false" customHeight="false" outlineLevel="0" collapsed="false"/>
    <row r="1044617" customFormat="false" ht="12.8" hidden="false" customHeight="false" outlineLevel="0" collapsed="false"/>
    <row r="1044618" customFormat="false" ht="12.8" hidden="false" customHeight="false" outlineLevel="0" collapsed="false"/>
    <row r="1044619" customFormat="false" ht="12.8" hidden="false" customHeight="false" outlineLevel="0" collapsed="false"/>
    <row r="1044620" customFormat="false" ht="12.8" hidden="false" customHeight="false" outlineLevel="0" collapsed="false"/>
    <row r="1044621" customFormat="false" ht="12.8" hidden="false" customHeight="false" outlineLevel="0" collapsed="false"/>
    <row r="1044622" customFormat="false" ht="12.8" hidden="false" customHeight="false" outlineLevel="0" collapsed="false"/>
    <row r="1044623" customFormat="false" ht="12.8" hidden="false" customHeight="false" outlineLevel="0" collapsed="false"/>
    <row r="1044624" customFormat="false" ht="12.8" hidden="false" customHeight="false" outlineLevel="0" collapsed="false"/>
    <row r="1044625" customFormat="false" ht="12.8" hidden="false" customHeight="false" outlineLevel="0" collapsed="false"/>
    <row r="1044626" customFormat="false" ht="12.8" hidden="false" customHeight="false" outlineLevel="0" collapsed="false"/>
    <row r="1044627" customFormat="false" ht="12.8" hidden="false" customHeight="false" outlineLevel="0" collapsed="false"/>
    <row r="1044628" customFormat="false" ht="12.8" hidden="false" customHeight="false" outlineLevel="0" collapsed="false"/>
    <row r="1044629" customFormat="false" ht="12.8" hidden="false" customHeight="false" outlineLevel="0" collapsed="false"/>
    <row r="1044630" customFormat="false" ht="12.8" hidden="false" customHeight="false" outlineLevel="0" collapsed="false"/>
    <row r="1044631" customFormat="false" ht="12.8" hidden="false" customHeight="false" outlineLevel="0" collapsed="false"/>
    <row r="1044632" customFormat="false" ht="12.8" hidden="false" customHeight="false" outlineLevel="0" collapsed="false"/>
    <row r="1044633" customFormat="false" ht="12.8" hidden="false" customHeight="false" outlineLevel="0" collapsed="false"/>
    <row r="1044634" customFormat="false" ht="12.8" hidden="false" customHeight="false" outlineLevel="0" collapsed="false"/>
    <row r="1044635" customFormat="false" ht="12.8" hidden="false" customHeight="false" outlineLevel="0" collapsed="false"/>
    <row r="1044636" customFormat="false" ht="12.8" hidden="false" customHeight="false" outlineLevel="0" collapsed="false"/>
    <row r="1044637" customFormat="false" ht="12.8" hidden="false" customHeight="false" outlineLevel="0" collapsed="false"/>
    <row r="1044638" customFormat="false" ht="12.8" hidden="false" customHeight="false" outlineLevel="0" collapsed="false"/>
    <row r="1044639" customFormat="false" ht="12.8" hidden="false" customHeight="false" outlineLevel="0" collapsed="false"/>
    <row r="1044640" customFormat="false" ht="12.8" hidden="false" customHeight="false" outlineLevel="0" collapsed="false"/>
    <row r="1044641" customFormat="false" ht="12.8" hidden="false" customHeight="false" outlineLevel="0" collapsed="false"/>
    <row r="1044642" customFormat="false" ht="12.8" hidden="false" customHeight="false" outlineLevel="0" collapsed="false"/>
    <row r="1044643" customFormat="false" ht="12.8" hidden="false" customHeight="false" outlineLevel="0" collapsed="false"/>
    <row r="1044644" customFormat="false" ht="12.8" hidden="false" customHeight="false" outlineLevel="0" collapsed="false"/>
    <row r="1044645" customFormat="false" ht="12.8" hidden="false" customHeight="false" outlineLevel="0" collapsed="false"/>
    <row r="1044646" customFormat="false" ht="12.8" hidden="false" customHeight="false" outlineLevel="0" collapsed="false"/>
    <row r="1044647" customFormat="false" ht="12.8" hidden="false" customHeight="false" outlineLevel="0" collapsed="false"/>
    <row r="1044648" customFormat="false" ht="12.8" hidden="false" customHeight="false" outlineLevel="0" collapsed="false"/>
    <row r="1044649" customFormat="false" ht="12.8" hidden="false" customHeight="false" outlineLevel="0" collapsed="false"/>
    <row r="1044650" customFormat="false" ht="12.8" hidden="false" customHeight="false" outlineLevel="0" collapsed="false"/>
    <row r="1044651" customFormat="false" ht="12.8" hidden="false" customHeight="false" outlineLevel="0" collapsed="false"/>
    <row r="1044652" customFormat="false" ht="12.8" hidden="false" customHeight="false" outlineLevel="0" collapsed="false"/>
    <row r="1044653" customFormat="false" ht="12.8" hidden="false" customHeight="false" outlineLevel="0" collapsed="false"/>
    <row r="1044654" customFormat="false" ht="12.8" hidden="false" customHeight="false" outlineLevel="0" collapsed="false"/>
    <row r="1044655" customFormat="false" ht="12.8" hidden="false" customHeight="false" outlineLevel="0" collapsed="false"/>
    <row r="1044656" customFormat="false" ht="12.8" hidden="false" customHeight="false" outlineLevel="0" collapsed="false"/>
    <row r="1044657" customFormat="false" ht="12.8" hidden="false" customHeight="false" outlineLevel="0" collapsed="false"/>
    <row r="1044658" customFormat="false" ht="12.8" hidden="false" customHeight="false" outlineLevel="0" collapsed="false"/>
    <row r="1044659" customFormat="false" ht="12.8" hidden="false" customHeight="false" outlineLevel="0" collapsed="false"/>
    <row r="1044660" customFormat="false" ht="12.8" hidden="false" customHeight="false" outlineLevel="0" collapsed="false"/>
    <row r="1044661" customFormat="false" ht="12.8" hidden="false" customHeight="false" outlineLevel="0" collapsed="false"/>
    <row r="1044662" customFormat="false" ht="12.8" hidden="false" customHeight="false" outlineLevel="0" collapsed="false"/>
    <row r="1044663" customFormat="false" ht="12.8" hidden="false" customHeight="false" outlineLevel="0" collapsed="false"/>
    <row r="1044664" customFormat="false" ht="12.8" hidden="false" customHeight="false" outlineLevel="0" collapsed="false"/>
    <row r="1044665" customFormat="false" ht="12.8" hidden="false" customHeight="false" outlineLevel="0" collapsed="false"/>
    <row r="1044666" customFormat="false" ht="12.8" hidden="false" customHeight="false" outlineLevel="0" collapsed="false"/>
    <row r="1044667" customFormat="false" ht="12.8" hidden="false" customHeight="false" outlineLevel="0" collapsed="false"/>
    <row r="1044668" customFormat="false" ht="12.8" hidden="false" customHeight="false" outlineLevel="0" collapsed="false"/>
    <row r="1044669" customFormat="false" ht="12.8" hidden="false" customHeight="false" outlineLevel="0" collapsed="false"/>
    <row r="1044670" customFormat="false" ht="12.8" hidden="false" customHeight="false" outlineLevel="0" collapsed="false"/>
    <row r="1044671" customFormat="false" ht="12.8" hidden="false" customHeight="false" outlineLevel="0" collapsed="false"/>
    <row r="1044672" customFormat="false" ht="12.8" hidden="false" customHeight="false" outlineLevel="0" collapsed="false"/>
    <row r="1044673" customFormat="false" ht="12.8" hidden="false" customHeight="false" outlineLevel="0" collapsed="false"/>
    <row r="1044674" customFormat="false" ht="12.8" hidden="false" customHeight="false" outlineLevel="0" collapsed="false"/>
    <row r="1044675" customFormat="false" ht="12.8" hidden="false" customHeight="false" outlineLevel="0" collapsed="false"/>
    <row r="1044676" customFormat="false" ht="12.8" hidden="false" customHeight="false" outlineLevel="0" collapsed="false"/>
    <row r="1044677" customFormat="false" ht="12.8" hidden="false" customHeight="false" outlineLevel="0" collapsed="false"/>
    <row r="1044678" customFormat="false" ht="12.8" hidden="false" customHeight="false" outlineLevel="0" collapsed="false"/>
    <row r="1044679" customFormat="false" ht="12.8" hidden="false" customHeight="false" outlineLevel="0" collapsed="false"/>
    <row r="1044680" customFormat="false" ht="12.8" hidden="false" customHeight="false" outlineLevel="0" collapsed="false"/>
    <row r="1044681" customFormat="false" ht="12.8" hidden="false" customHeight="false" outlineLevel="0" collapsed="false"/>
    <row r="1044682" customFormat="false" ht="12.8" hidden="false" customHeight="false" outlineLevel="0" collapsed="false"/>
    <row r="1044683" customFormat="false" ht="12.8" hidden="false" customHeight="false" outlineLevel="0" collapsed="false"/>
    <row r="1044684" customFormat="false" ht="12.8" hidden="false" customHeight="false" outlineLevel="0" collapsed="false"/>
    <row r="1044685" customFormat="false" ht="12.8" hidden="false" customHeight="false" outlineLevel="0" collapsed="false"/>
    <row r="1044686" customFormat="false" ht="12.8" hidden="false" customHeight="false" outlineLevel="0" collapsed="false"/>
    <row r="1044687" customFormat="false" ht="12.8" hidden="false" customHeight="false" outlineLevel="0" collapsed="false"/>
    <row r="1044688" customFormat="false" ht="12.8" hidden="false" customHeight="false" outlineLevel="0" collapsed="false"/>
    <row r="1044689" customFormat="false" ht="12.8" hidden="false" customHeight="false" outlineLevel="0" collapsed="false"/>
    <row r="1044690" customFormat="false" ht="12.8" hidden="false" customHeight="false" outlineLevel="0" collapsed="false"/>
    <row r="1044691" customFormat="false" ht="12.8" hidden="false" customHeight="false" outlineLevel="0" collapsed="false"/>
    <row r="1044692" customFormat="false" ht="12.8" hidden="false" customHeight="false" outlineLevel="0" collapsed="false"/>
    <row r="1044693" customFormat="false" ht="12.8" hidden="false" customHeight="false" outlineLevel="0" collapsed="false"/>
    <row r="1044694" customFormat="false" ht="12.8" hidden="false" customHeight="false" outlineLevel="0" collapsed="false"/>
    <row r="1044695" customFormat="false" ht="12.8" hidden="false" customHeight="false" outlineLevel="0" collapsed="false"/>
    <row r="1044696" customFormat="false" ht="12.8" hidden="false" customHeight="false" outlineLevel="0" collapsed="false"/>
    <row r="1044697" customFormat="false" ht="12.8" hidden="false" customHeight="false" outlineLevel="0" collapsed="false"/>
    <row r="1044698" customFormat="false" ht="12.8" hidden="false" customHeight="false" outlineLevel="0" collapsed="false"/>
    <row r="1044699" customFormat="false" ht="12.8" hidden="false" customHeight="false" outlineLevel="0" collapsed="false"/>
    <row r="1044700" customFormat="false" ht="12.8" hidden="false" customHeight="false" outlineLevel="0" collapsed="false"/>
    <row r="1044701" customFormat="false" ht="12.8" hidden="false" customHeight="false" outlineLevel="0" collapsed="false"/>
    <row r="1044702" customFormat="false" ht="12.8" hidden="false" customHeight="false" outlineLevel="0" collapsed="false"/>
    <row r="1044703" customFormat="false" ht="12.8" hidden="false" customHeight="false" outlineLevel="0" collapsed="false"/>
    <row r="1044704" customFormat="false" ht="12.8" hidden="false" customHeight="false" outlineLevel="0" collapsed="false"/>
    <row r="1044705" customFormat="false" ht="12.8" hidden="false" customHeight="false" outlineLevel="0" collapsed="false"/>
    <row r="1044706" customFormat="false" ht="12.8" hidden="false" customHeight="false" outlineLevel="0" collapsed="false"/>
    <row r="1044707" customFormat="false" ht="12.8" hidden="false" customHeight="false" outlineLevel="0" collapsed="false"/>
    <row r="1044708" customFormat="false" ht="12.8" hidden="false" customHeight="false" outlineLevel="0" collapsed="false"/>
    <row r="1044709" customFormat="false" ht="12.8" hidden="false" customHeight="false" outlineLevel="0" collapsed="false"/>
    <row r="1044710" customFormat="false" ht="12.8" hidden="false" customHeight="false" outlineLevel="0" collapsed="false"/>
    <row r="1044711" customFormat="false" ht="12.8" hidden="false" customHeight="false" outlineLevel="0" collapsed="false"/>
    <row r="1044712" customFormat="false" ht="12.8" hidden="false" customHeight="false" outlineLevel="0" collapsed="false"/>
    <row r="1044713" customFormat="false" ht="12.8" hidden="false" customHeight="false" outlineLevel="0" collapsed="false"/>
    <row r="1044714" customFormat="false" ht="12.8" hidden="false" customHeight="false" outlineLevel="0" collapsed="false"/>
    <row r="1044715" customFormat="false" ht="12.8" hidden="false" customHeight="false" outlineLevel="0" collapsed="false"/>
    <row r="1044716" customFormat="false" ht="12.8" hidden="false" customHeight="false" outlineLevel="0" collapsed="false"/>
    <row r="1044717" customFormat="false" ht="12.8" hidden="false" customHeight="false" outlineLevel="0" collapsed="false"/>
    <row r="1044718" customFormat="false" ht="12.8" hidden="false" customHeight="false" outlineLevel="0" collapsed="false"/>
    <row r="1044719" customFormat="false" ht="12.8" hidden="false" customHeight="false" outlineLevel="0" collapsed="false"/>
    <row r="1044720" customFormat="false" ht="12.8" hidden="false" customHeight="false" outlineLevel="0" collapsed="false"/>
    <row r="1044721" customFormat="false" ht="12.8" hidden="false" customHeight="false" outlineLevel="0" collapsed="false"/>
    <row r="1044722" customFormat="false" ht="12.8" hidden="false" customHeight="false" outlineLevel="0" collapsed="false"/>
    <row r="1044723" customFormat="false" ht="12.8" hidden="false" customHeight="false" outlineLevel="0" collapsed="false"/>
    <row r="1044724" customFormat="false" ht="12.8" hidden="false" customHeight="false" outlineLevel="0" collapsed="false"/>
    <row r="1044725" customFormat="false" ht="12.8" hidden="false" customHeight="false" outlineLevel="0" collapsed="false"/>
    <row r="1044726" customFormat="false" ht="12.8" hidden="false" customHeight="false" outlineLevel="0" collapsed="false"/>
    <row r="1044727" customFormat="false" ht="12.8" hidden="false" customHeight="false" outlineLevel="0" collapsed="false"/>
    <row r="1044728" customFormat="false" ht="12.8" hidden="false" customHeight="false" outlineLevel="0" collapsed="false"/>
    <row r="1044729" customFormat="false" ht="12.8" hidden="false" customHeight="false" outlineLevel="0" collapsed="false"/>
    <row r="1044730" customFormat="false" ht="12.8" hidden="false" customHeight="false" outlineLevel="0" collapsed="false"/>
    <row r="1044731" customFormat="false" ht="12.8" hidden="false" customHeight="false" outlineLevel="0" collapsed="false"/>
    <row r="1044732" customFormat="false" ht="12.8" hidden="false" customHeight="false" outlineLevel="0" collapsed="false"/>
    <row r="1044733" customFormat="false" ht="12.8" hidden="false" customHeight="false" outlineLevel="0" collapsed="false"/>
    <row r="1044734" customFormat="false" ht="12.8" hidden="false" customHeight="false" outlineLevel="0" collapsed="false"/>
    <row r="1044735" customFormat="false" ht="12.8" hidden="false" customHeight="false" outlineLevel="0" collapsed="false"/>
    <row r="1044736" customFormat="false" ht="12.8" hidden="false" customHeight="false" outlineLevel="0" collapsed="false"/>
    <row r="1044737" customFormat="false" ht="12.8" hidden="false" customHeight="false" outlineLevel="0" collapsed="false"/>
    <row r="1044738" customFormat="false" ht="12.8" hidden="false" customHeight="false" outlineLevel="0" collapsed="false"/>
    <row r="1044739" customFormat="false" ht="12.8" hidden="false" customHeight="false" outlineLevel="0" collapsed="false"/>
    <row r="1044740" customFormat="false" ht="12.8" hidden="false" customHeight="false" outlineLevel="0" collapsed="false"/>
    <row r="1044741" customFormat="false" ht="12.8" hidden="false" customHeight="false" outlineLevel="0" collapsed="false"/>
    <row r="1044742" customFormat="false" ht="12.8" hidden="false" customHeight="false" outlineLevel="0" collapsed="false"/>
    <row r="1044743" customFormat="false" ht="12.8" hidden="false" customHeight="false" outlineLevel="0" collapsed="false"/>
    <row r="1044744" customFormat="false" ht="12.8" hidden="false" customHeight="false" outlineLevel="0" collapsed="false"/>
    <row r="1044745" customFormat="false" ht="12.8" hidden="false" customHeight="false" outlineLevel="0" collapsed="false"/>
    <row r="1044746" customFormat="false" ht="12.8" hidden="false" customHeight="false" outlineLevel="0" collapsed="false"/>
    <row r="1044747" customFormat="false" ht="12.8" hidden="false" customHeight="false" outlineLevel="0" collapsed="false"/>
    <row r="1044748" customFormat="false" ht="12.8" hidden="false" customHeight="false" outlineLevel="0" collapsed="false"/>
    <row r="1044749" customFormat="false" ht="12.8" hidden="false" customHeight="false" outlineLevel="0" collapsed="false"/>
    <row r="1044750" customFormat="false" ht="12.8" hidden="false" customHeight="false" outlineLevel="0" collapsed="false"/>
    <row r="1044751" customFormat="false" ht="12.8" hidden="false" customHeight="false" outlineLevel="0" collapsed="false"/>
    <row r="1044752" customFormat="false" ht="12.8" hidden="false" customHeight="false" outlineLevel="0" collapsed="false"/>
    <row r="1044753" customFormat="false" ht="12.8" hidden="false" customHeight="false" outlineLevel="0" collapsed="false"/>
    <row r="1044754" customFormat="false" ht="12.8" hidden="false" customHeight="false" outlineLevel="0" collapsed="false"/>
    <row r="1044755" customFormat="false" ht="12.8" hidden="false" customHeight="false" outlineLevel="0" collapsed="false"/>
    <row r="1044756" customFormat="false" ht="12.8" hidden="false" customHeight="false" outlineLevel="0" collapsed="false"/>
    <row r="1044757" customFormat="false" ht="12.8" hidden="false" customHeight="false" outlineLevel="0" collapsed="false"/>
    <row r="1044758" customFormat="false" ht="12.8" hidden="false" customHeight="false" outlineLevel="0" collapsed="false"/>
    <row r="1044759" customFormat="false" ht="12.8" hidden="false" customHeight="false" outlineLevel="0" collapsed="false"/>
    <row r="1044760" customFormat="false" ht="12.8" hidden="false" customHeight="false" outlineLevel="0" collapsed="false"/>
    <row r="1044761" customFormat="false" ht="12.8" hidden="false" customHeight="false" outlineLevel="0" collapsed="false"/>
    <row r="1044762" customFormat="false" ht="12.8" hidden="false" customHeight="false" outlineLevel="0" collapsed="false"/>
    <row r="1044763" customFormat="false" ht="12.8" hidden="false" customHeight="false" outlineLevel="0" collapsed="false"/>
    <row r="1044764" customFormat="false" ht="12.8" hidden="false" customHeight="false" outlineLevel="0" collapsed="false"/>
    <row r="1044765" customFormat="false" ht="12.8" hidden="false" customHeight="false" outlineLevel="0" collapsed="false"/>
    <row r="1044766" customFormat="false" ht="12.8" hidden="false" customHeight="false" outlineLevel="0" collapsed="false"/>
    <row r="1044767" customFormat="false" ht="12.8" hidden="false" customHeight="false" outlineLevel="0" collapsed="false"/>
    <row r="1044768" customFormat="false" ht="12.8" hidden="false" customHeight="false" outlineLevel="0" collapsed="false"/>
    <row r="1044769" customFormat="false" ht="12.8" hidden="false" customHeight="false" outlineLevel="0" collapsed="false"/>
    <row r="1044770" customFormat="false" ht="12.8" hidden="false" customHeight="false" outlineLevel="0" collapsed="false"/>
    <row r="1044771" customFormat="false" ht="12.8" hidden="false" customHeight="false" outlineLevel="0" collapsed="false"/>
    <row r="1044772" customFormat="false" ht="12.8" hidden="false" customHeight="false" outlineLevel="0" collapsed="false"/>
    <row r="1044773" customFormat="false" ht="12.8" hidden="false" customHeight="false" outlineLevel="0" collapsed="false"/>
    <row r="1044774" customFormat="false" ht="12.8" hidden="false" customHeight="false" outlineLevel="0" collapsed="false"/>
    <row r="1044775" customFormat="false" ht="12.8" hidden="false" customHeight="false" outlineLevel="0" collapsed="false"/>
    <row r="1044776" customFormat="false" ht="12.8" hidden="false" customHeight="false" outlineLevel="0" collapsed="false"/>
    <row r="1044777" customFormat="false" ht="12.8" hidden="false" customHeight="false" outlineLevel="0" collapsed="false"/>
    <row r="1044778" customFormat="false" ht="12.8" hidden="false" customHeight="false" outlineLevel="0" collapsed="false"/>
    <row r="1044779" customFormat="false" ht="12.8" hidden="false" customHeight="false" outlineLevel="0" collapsed="false"/>
    <row r="1044780" customFormat="false" ht="12.8" hidden="false" customHeight="false" outlineLevel="0" collapsed="false"/>
    <row r="1044781" customFormat="false" ht="12.8" hidden="false" customHeight="false" outlineLevel="0" collapsed="false"/>
    <row r="1044782" customFormat="false" ht="12.8" hidden="false" customHeight="false" outlineLevel="0" collapsed="false"/>
    <row r="1044783" customFormat="false" ht="12.8" hidden="false" customHeight="false" outlineLevel="0" collapsed="false"/>
    <row r="1044784" customFormat="false" ht="12.8" hidden="false" customHeight="false" outlineLevel="0" collapsed="false"/>
    <row r="1044785" customFormat="false" ht="12.8" hidden="false" customHeight="false" outlineLevel="0" collapsed="false"/>
    <row r="1044786" customFormat="false" ht="12.8" hidden="false" customHeight="false" outlineLevel="0" collapsed="false"/>
    <row r="1044787" customFormat="false" ht="12.8" hidden="false" customHeight="false" outlineLevel="0" collapsed="false"/>
    <row r="1044788" customFormat="false" ht="12.8" hidden="false" customHeight="false" outlineLevel="0" collapsed="false"/>
    <row r="1044789" customFormat="false" ht="12.8" hidden="false" customHeight="false" outlineLevel="0" collapsed="false"/>
    <row r="1044790" customFormat="false" ht="12.8" hidden="false" customHeight="false" outlineLevel="0" collapsed="false"/>
    <row r="1044791" customFormat="false" ht="12.8" hidden="false" customHeight="false" outlineLevel="0" collapsed="false"/>
    <row r="1044792" customFormat="false" ht="12.8" hidden="false" customHeight="false" outlineLevel="0" collapsed="false"/>
    <row r="1044793" customFormat="false" ht="12.8" hidden="false" customHeight="false" outlineLevel="0" collapsed="false"/>
    <row r="1044794" customFormat="false" ht="12.8" hidden="false" customHeight="false" outlineLevel="0" collapsed="false"/>
    <row r="1044795" customFormat="false" ht="12.8" hidden="false" customHeight="false" outlineLevel="0" collapsed="false"/>
    <row r="1044796" customFormat="false" ht="12.8" hidden="false" customHeight="false" outlineLevel="0" collapsed="false"/>
    <row r="1044797" customFormat="false" ht="12.8" hidden="false" customHeight="false" outlineLevel="0" collapsed="false"/>
    <row r="1044798" customFormat="false" ht="12.8" hidden="false" customHeight="false" outlineLevel="0" collapsed="false"/>
    <row r="1044799" customFormat="false" ht="12.8" hidden="false" customHeight="false" outlineLevel="0" collapsed="false"/>
    <row r="1044800" customFormat="false" ht="12.8" hidden="false" customHeight="false" outlineLevel="0" collapsed="false"/>
    <row r="1044801" customFormat="false" ht="12.8" hidden="false" customHeight="false" outlineLevel="0" collapsed="false"/>
    <row r="1044802" customFormat="false" ht="12.8" hidden="false" customHeight="false" outlineLevel="0" collapsed="false"/>
    <row r="1044803" customFormat="false" ht="12.8" hidden="false" customHeight="false" outlineLevel="0" collapsed="false"/>
    <row r="1044804" customFormat="false" ht="12.8" hidden="false" customHeight="false" outlineLevel="0" collapsed="false"/>
    <row r="1044805" customFormat="false" ht="12.8" hidden="false" customHeight="false" outlineLevel="0" collapsed="false"/>
    <row r="1044806" customFormat="false" ht="12.8" hidden="false" customHeight="false" outlineLevel="0" collapsed="false"/>
    <row r="1044807" customFormat="false" ht="12.8" hidden="false" customHeight="false" outlineLevel="0" collapsed="false"/>
    <row r="1044808" customFormat="false" ht="12.8" hidden="false" customHeight="false" outlineLevel="0" collapsed="false"/>
    <row r="1044809" customFormat="false" ht="12.8" hidden="false" customHeight="false" outlineLevel="0" collapsed="false"/>
    <row r="1044810" customFormat="false" ht="12.8" hidden="false" customHeight="false" outlineLevel="0" collapsed="false"/>
    <row r="1044811" customFormat="false" ht="12.8" hidden="false" customHeight="false" outlineLevel="0" collapsed="false"/>
    <row r="1044812" customFormat="false" ht="12.8" hidden="false" customHeight="false" outlineLevel="0" collapsed="false"/>
    <row r="1044813" customFormat="false" ht="12.8" hidden="false" customHeight="false" outlineLevel="0" collapsed="false"/>
    <row r="1044814" customFormat="false" ht="12.8" hidden="false" customHeight="false" outlineLevel="0" collapsed="false"/>
    <row r="1044815" customFormat="false" ht="12.8" hidden="false" customHeight="false" outlineLevel="0" collapsed="false"/>
    <row r="1044816" customFormat="false" ht="12.8" hidden="false" customHeight="false" outlineLevel="0" collapsed="false"/>
    <row r="1044817" customFormat="false" ht="12.8" hidden="false" customHeight="false" outlineLevel="0" collapsed="false"/>
    <row r="1044818" customFormat="false" ht="12.8" hidden="false" customHeight="false" outlineLevel="0" collapsed="false"/>
    <row r="1044819" customFormat="false" ht="12.8" hidden="false" customHeight="false" outlineLevel="0" collapsed="false"/>
    <row r="1044820" customFormat="false" ht="12.8" hidden="false" customHeight="false" outlineLevel="0" collapsed="false"/>
    <row r="1044821" customFormat="false" ht="12.8" hidden="false" customHeight="false" outlineLevel="0" collapsed="false"/>
    <row r="1044822" customFormat="false" ht="12.8" hidden="false" customHeight="false" outlineLevel="0" collapsed="false"/>
    <row r="1044823" customFormat="false" ht="12.8" hidden="false" customHeight="false" outlineLevel="0" collapsed="false"/>
    <row r="1044824" customFormat="false" ht="12.8" hidden="false" customHeight="false" outlineLevel="0" collapsed="false"/>
    <row r="1044825" customFormat="false" ht="12.8" hidden="false" customHeight="false" outlineLevel="0" collapsed="false"/>
    <row r="1044826" customFormat="false" ht="12.8" hidden="false" customHeight="false" outlineLevel="0" collapsed="false"/>
    <row r="1044827" customFormat="false" ht="12.8" hidden="false" customHeight="false" outlineLevel="0" collapsed="false"/>
    <row r="1044828" customFormat="false" ht="12.8" hidden="false" customHeight="false" outlineLevel="0" collapsed="false"/>
    <row r="1044829" customFormat="false" ht="12.8" hidden="false" customHeight="false" outlineLevel="0" collapsed="false"/>
    <row r="1044830" customFormat="false" ht="12.8" hidden="false" customHeight="false" outlineLevel="0" collapsed="false"/>
    <row r="1044831" customFormat="false" ht="12.8" hidden="false" customHeight="false" outlineLevel="0" collapsed="false"/>
    <row r="1044832" customFormat="false" ht="12.8" hidden="false" customHeight="false" outlineLevel="0" collapsed="false"/>
    <row r="1044833" customFormat="false" ht="12.8" hidden="false" customHeight="false" outlineLevel="0" collapsed="false"/>
    <row r="1044834" customFormat="false" ht="12.8" hidden="false" customHeight="false" outlineLevel="0" collapsed="false"/>
    <row r="1044835" customFormat="false" ht="12.8" hidden="false" customHeight="false" outlineLevel="0" collapsed="false"/>
    <row r="1044836" customFormat="false" ht="12.8" hidden="false" customHeight="false" outlineLevel="0" collapsed="false"/>
    <row r="1044837" customFormat="false" ht="12.8" hidden="false" customHeight="false" outlineLevel="0" collapsed="false"/>
    <row r="1044838" customFormat="false" ht="12.8" hidden="false" customHeight="false" outlineLevel="0" collapsed="false"/>
    <row r="1044839" customFormat="false" ht="12.8" hidden="false" customHeight="false" outlineLevel="0" collapsed="false"/>
    <row r="1044840" customFormat="false" ht="12.8" hidden="false" customHeight="false" outlineLevel="0" collapsed="false"/>
    <row r="1044841" customFormat="false" ht="12.8" hidden="false" customHeight="false" outlineLevel="0" collapsed="false"/>
    <row r="1044842" customFormat="false" ht="12.8" hidden="false" customHeight="false" outlineLevel="0" collapsed="false"/>
    <row r="1044843" customFormat="false" ht="12.8" hidden="false" customHeight="false" outlineLevel="0" collapsed="false"/>
    <row r="1044844" customFormat="false" ht="12.8" hidden="false" customHeight="false" outlineLevel="0" collapsed="false"/>
    <row r="1044845" customFormat="false" ht="12.8" hidden="false" customHeight="false" outlineLevel="0" collapsed="false"/>
    <row r="1044846" customFormat="false" ht="12.8" hidden="false" customHeight="false" outlineLevel="0" collapsed="false"/>
    <row r="1044847" customFormat="false" ht="12.8" hidden="false" customHeight="false" outlineLevel="0" collapsed="false"/>
    <row r="1044848" customFormat="false" ht="12.8" hidden="false" customHeight="false" outlineLevel="0" collapsed="false"/>
    <row r="1044849" customFormat="false" ht="12.8" hidden="false" customHeight="false" outlineLevel="0" collapsed="false"/>
    <row r="1044850" customFormat="false" ht="12.8" hidden="false" customHeight="false" outlineLevel="0" collapsed="false"/>
    <row r="1044851" customFormat="false" ht="12.8" hidden="false" customHeight="false" outlineLevel="0" collapsed="false"/>
    <row r="1044852" customFormat="false" ht="12.8" hidden="false" customHeight="false" outlineLevel="0" collapsed="false"/>
    <row r="1044853" customFormat="false" ht="12.8" hidden="false" customHeight="false" outlineLevel="0" collapsed="false"/>
    <row r="1044854" customFormat="false" ht="12.8" hidden="false" customHeight="false" outlineLevel="0" collapsed="false"/>
    <row r="1044855" customFormat="false" ht="12.8" hidden="false" customHeight="false" outlineLevel="0" collapsed="false"/>
    <row r="1044856" customFormat="false" ht="12.8" hidden="false" customHeight="false" outlineLevel="0" collapsed="false"/>
    <row r="1044857" customFormat="false" ht="12.8" hidden="false" customHeight="false" outlineLevel="0" collapsed="false"/>
    <row r="1044858" customFormat="false" ht="12.8" hidden="false" customHeight="false" outlineLevel="0" collapsed="false"/>
    <row r="1044859" customFormat="false" ht="12.8" hidden="false" customHeight="false" outlineLevel="0" collapsed="false"/>
    <row r="1044860" customFormat="false" ht="12.8" hidden="false" customHeight="false" outlineLevel="0" collapsed="false"/>
    <row r="1044861" customFormat="false" ht="12.8" hidden="false" customHeight="false" outlineLevel="0" collapsed="false"/>
    <row r="1044862" customFormat="false" ht="12.8" hidden="false" customHeight="false" outlineLevel="0" collapsed="false"/>
    <row r="1044863" customFormat="false" ht="12.8" hidden="false" customHeight="false" outlineLevel="0" collapsed="false"/>
    <row r="1044864" customFormat="false" ht="12.8" hidden="false" customHeight="false" outlineLevel="0" collapsed="false"/>
    <row r="1044865" customFormat="false" ht="12.8" hidden="false" customHeight="false" outlineLevel="0" collapsed="false"/>
    <row r="1044866" customFormat="false" ht="12.8" hidden="false" customHeight="false" outlineLevel="0" collapsed="false"/>
    <row r="1044867" customFormat="false" ht="12.8" hidden="false" customHeight="false" outlineLevel="0" collapsed="false"/>
    <row r="1044868" customFormat="false" ht="12.8" hidden="false" customHeight="false" outlineLevel="0" collapsed="false"/>
    <row r="1044869" customFormat="false" ht="12.8" hidden="false" customHeight="false" outlineLevel="0" collapsed="false"/>
    <row r="1044870" customFormat="false" ht="12.8" hidden="false" customHeight="false" outlineLevel="0" collapsed="false"/>
    <row r="1044871" customFormat="false" ht="12.8" hidden="false" customHeight="false" outlineLevel="0" collapsed="false"/>
    <row r="1044872" customFormat="false" ht="12.8" hidden="false" customHeight="false" outlineLevel="0" collapsed="false"/>
    <row r="1044873" customFormat="false" ht="12.8" hidden="false" customHeight="false" outlineLevel="0" collapsed="false"/>
    <row r="1044874" customFormat="false" ht="12.8" hidden="false" customHeight="false" outlineLevel="0" collapsed="false"/>
    <row r="1044875" customFormat="false" ht="12.8" hidden="false" customHeight="false" outlineLevel="0" collapsed="false"/>
    <row r="1044876" customFormat="false" ht="12.8" hidden="false" customHeight="false" outlineLevel="0" collapsed="false"/>
    <row r="1044877" customFormat="false" ht="12.8" hidden="false" customHeight="false" outlineLevel="0" collapsed="false"/>
    <row r="1044878" customFormat="false" ht="12.8" hidden="false" customHeight="false" outlineLevel="0" collapsed="false"/>
    <row r="1044879" customFormat="false" ht="12.8" hidden="false" customHeight="false" outlineLevel="0" collapsed="false"/>
    <row r="1044880" customFormat="false" ht="12.8" hidden="false" customHeight="false" outlineLevel="0" collapsed="false"/>
    <row r="1044881" customFormat="false" ht="12.8" hidden="false" customHeight="false" outlineLevel="0" collapsed="false"/>
    <row r="1044882" customFormat="false" ht="12.8" hidden="false" customHeight="false" outlineLevel="0" collapsed="false"/>
    <row r="1044883" customFormat="false" ht="12.8" hidden="false" customHeight="false" outlineLevel="0" collapsed="false"/>
    <row r="1044884" customFormat="false" ht="12.8" hidden="false" customHeight="false" outlineLevel="0" collapsed="false"/>
    <row r="1044885" customFormat="false" ht="12.8" hidden="false" customHeight="false" outlineLevel="0" collapsed="false"/>
    <row r="1044886" customFormat="false" ht="12.8" hidden="false" customHeight="false" outlineLevel="0" collapsed="false"/>
    <row r="1044887" customFormat="false" ht="12.8" hidden="false" customHeight="false" outlineLevel="0" collapsed="false"/>
    <row r="1044888" customFormat="false" ht="12.8" hidden="false" customHeight="false" outlineLevel="0" collapsed="false"/>
    <row r="1044889" customFormat="false" ht="12.8" hidden="false" customHeight="false" outlineLevel="0" collapsed="false"/>
    <row r="1044890" customFormat="false" ht="12.8" hidden="false" customHeight="false" outlineLevel="0" collapsed="false"/>
    <row r="1044891" customFormat="false" ht="12.8" hidden="false" customHeight="false" outlineLevel="0" collapsed="false"/>
    <row r="1044892" customFormat="false" ht="12.8" hidden="false" customHeight="false" outlineLevel="0" collapsed="false"/>
    <row r="1044893" customFormat="false" ht="12.8" hidden="false" customHeight="false" outlineLevel="0" collapsed="false"/>
    <row r="1044894" customFormat="false" ht="12.8" hidden="false" customHeight="false" outlineLevel="0" collapsed="false"/>
    <row r="1044895" customFormat="false" ht="12.8" hidden="false" customHeight="false" outlineLevel="0" collapsed="false"/>
    <row r="1044896" customFormat="false" ht="12.8" hidden="false" customHeight="false" outlineLevel="0" collapsed="false"/>
    <row r="1044897" customFormat="false" ht="12.8" hidden="false" customHeight="false" outlineLevel="0" collapsed="false"/>
    <row r="1044898" customFormat="false" ht="12.8" hidden="false" customHeight="false" outlineLevel="0" collapsed="false"/>
    <row r="1044899" customFormat="false" ht="12.8" hidden="false" customHeight="false" outlineLevel="0" collapsed="false"/>
    <row r="1044900" customFormat="false" ht="12.8" hidden="false" customHeight="false" outlineLevel="0" collapsed="false"/>
    <row r="1044901" customFormat="false" ht="12.8" hidden="false" customHeight="false" outlineLevel="0" collapsed="false"/>
    <row r="1044902" customFormat="false" ht="12.8" hidden="false" customHeight="false" outlineLevel="0" collapsed="false"/>
    <row r="1044903" customFormat="false" ht="12.8" hidden="false" customHeight="false" outlineLevel="0" collapsed="false"/>
    <row r="1044904" customFormat="false" ht="12.8" hidden="false" customHeight="false" outlineLevel="0" collapsed="false"/>
    <row r="1044905" customFormat="false" ht="12.8" hidden="false" customHeight="false" outlineLevel="0" collapsed="false"/>
    <row r="1044906" customFormat="false" ht="12.8" hidden="false" customHeight="false" outlineLevel="0" collapsed="false"/>
    <row r="1044907" customFormat="false" ht="12.8" hidden="false" customHeight="false" outlineLevel="0" collapsed="false"/>
    <row r="1044908" customFormat="false" ht="12.8" hidden="false" customHeight="false" outlineLevel="0" collapsed="false"/>
    <row r="1044909" customFormat="false" ht="12.8" hidden="false" customHeight="false" outlineLevel="0" collapsed="false"/>
    <row r="1044910" customFormat="false" ht="12.8" hidden="false" customHeight="false" outlineLevel="0" collapsed="false"/>
    <row r="1044911" customFormat="false" ht="12.8" hidden="false" customHeight="false" outlineLevel="0" collapsed="false"/>
    <row r="1044912" customFormat="false" ht="12.8" hidden="false" customHeight="false" outlineLevel="0" collapsed="false"/>
    <row r="1044913" customFormat="false" ht="12.8" hidden="false" customHeight="false" outlineLevel="0" collapsed="false"/>
    <row r="1044914" customFormat="false" ht="12.8" hidden="false" customHeight="false" outlineLevel="0" collapsed="false"/>
    <row r="1044915" customFormat="false" ht="12.8" hidden="false" customHeight="false" outlineLevel="0" collapsed="false"/>
    <row r="1044916" customFormat="false" ht="12.8" hidden="false" customHeight="false" outlineLevel="0" collapsed="false"/>
    <row r="1044917" customFormat="false" ht="12.8" hidden="false" customHeight="false" outlineLevel="0" collapsed="false"/>
    <row r="1044918" customFormat="false" ht="12.8" hidden="false" customHeight="false" outlineLevel="0" collapsed="false"/>
    <row r="1044919" customFormat="false" ht="12.8" hidden="false" customHeight="false" outlineLevel="0" collapsed="false"/>
    <row r="1044920" customFormat="false" ht="12.8" hidden="false" customHeight="false" outlineLevel="0" collapsed="false"/>
    <row r="1044921" customFormat="false" ht="12.8" hidden="false" customHeight="false" outlineLevel="0" collapsed="false"/>
    <row r="1044922" customFormat="false" ht="12.8" hidden="false" customHeight="false" outlineLevel="0" collapsed="false"/>
    <row r="1044923" customFormat="false" ht="12.8" hidden="false" customHeight="false" outlineLevel="0" collapsed="false"/>
    <row r="1044924" customFormat="false" ht="12.8" hidden="false" customHeight="false" outlineLevel="0" collapsed="false"/>
    <row r="1044925" customFormat="false" ht="12.8" hidden="false" customHeight="false" outlineLevel="0" collapsed="false"/>
    <row r="1044926" customFormat="false" ht="12.8" hidden="false" customHeight="false" outlineLevel="0" collapsed="false"/>
    <row r="1044927" customFormat="false" ht="12.8" hidden="false" customHeight="false" outlineLevel="0" collapsed="false"/>
    <row r="1044928" customFormat="false" ht="12.8" hidden="false" customHeight="false" outlineLevel="0" collapsed="false"/>
    <row r="1044929" customFormat="false" ht="12.8" hidden="false" customHeight="false" outlineLevel="0" collapsed="false"/>
    <row r="1044930" customFormat="false" ht="12.8" hidden="false" customHeight="false" outlineLevel="0" collapsed="false"/>
    <row r="1044931" customFormat="false" ht="12.8" hidden="false" customHeight="false" outlineLevel="0" collapsed="false"/>
    <row r="1044932" customFormat="false" ht="12.8" hidden="false" customHeight="false" outlineLevel="0" collapsed="false"/>
    <row r="1044933" customFormat="false" ht="12.8" hidden="false" customHeight="false" outlineLevel="0" collapsed="false"/>
    <row r="1044934" customFormat="false" ht="12.8" hidden="false" customHeight="false" outlineLevel="0" collapsed="false"/>
    <row r="1044935" customFormat="false" ht="12.8" hidden="false" customHeight="false" outlineLevel="0" collapsed="false"/>
    <row r="1044936" customFormat="false" ht="12.8" hidden="false" customHeight="false" outlineLevel="0" collapsed="false"/>
    <row r="1044937" customFormat="false" ht="12.8" hidden="false" customHeight="false" outlineLevel="0" collapsed="false"/>
    <row r="1044938" customFormat="false" ht="12.8" hidden="false" customHeight="false" outlineLevel="0" collapsed="false"/>
    <row r="1044939" customFormat="false" ht="12.8" hidden="false" customHeight="false" outlineLevel="0" collapsed="false"/>
    <row r="1044940" customFormat="false" ht="12.8" hidden="false" customHeight="false" outlineLevel="0" collapsed="false"/>
    <row r="1044941" customFormat="false" ht="12.8" hidden="false" customHeight="false" outlineLevel="0" collapsed="false"/>
    <row r="1044942" customFormat="false" ht="12.8" hidden="false" customHeight="false" outlineLevel="0" collapsed="false"/>
    <row r="1044943" customFormat="false" ht="12.8" hidden="false" customHeight="false" outlineLevel="0" collapsed="false"/>
    <row r="1044944" customFormat="false" ht="12.8" hidden="false" customHeight="false" outlineLevel="0" collapsed="false"/>
    <row r="1044945" customFormat="false" ht="12.8" hidden="false" customHeight="false" outlineLevel="0" collapsed="false"/>
    <row r="1044946" customFormat="false" ht="12.8" hidden="false" customHeight="false" outlineLevel="0" collapsed="false"/>
    <row r="1044947" customFormat="false" ht="12.8" hidden="false" customHeight="false" outlineLevel="0" collapsed="false"/>
    <row r="1044948" customFormat="false" ht="12.8" hidden="false" customHeight="false" outlineLevel="0" collapsed="false"/>
    <row r="1044949" customFormat="false" ht="12.8" hidden="false" customHeight="false" outlineLevel="0" collapsed="false"/>
    <row r="1044950" customFormat="false" ht="12.8" hidden="false" customHeight="false" outlineLevel="0" collapsed="false"/>
    <row r="1044951" customFormat="false" ht="12.8" hidden="false" customHeight="false" outlineLevel="0" collapsed="false"/>
    <row r="1044952" customFormat="false" ht="12.8" hidden="false" customHeight="false" outlineLevel="0" collapsed="false"/>
    <row r="1044953" customFormat="false" ht="12.8" hidden="false" customHeight="false" outlineLevel="0" collapsed="false"/>
    <row r="1044954" customFormat="false" ht="12.8" hidden="false" customHeight="false" outlineLevel="0" collapsed="false"/>
    <row r="1044955" customFormat="false" ht="12.8" hidden="false" customHeight="false" outlineLevel="0" collapsed="false"/>
    <row r="1044956" customFormat="false" ht="12.8" hidden="false" customHeight="false" outlineLevel="0" collapsed="false"/>
    <row r="1044957" customFormat="false" ht="12.8" hidden="false" customHeight="false" outlineLevel="0" collapsed="false"/>
    <row r="1044958" customFormat="false" ht="12.8" hidden="false" customHeight="false" outlineLevel="0" collapsed="false"/>
    <row r="1044959" customFormat="false" ht="12.8" hidden="false" customHeight="false" outlineLevel="0" collapsed="false"/>
    <row r="1044960" customFormat="false" ht="12.8" hidden="false" customHeight="false" outlineLevel="0" collapsed="false"/>
    <row r="1044961" customFormat="false" ht="12.8" hidden="false" customHeight="false" outlineLevel="0" collapsed="false"/>
    <row r="1044962" customFormat="false" ht="12.8" hidden="false" customHeight="false" outlineLevel="0" collapsed="false"/>
    <row r="1044963" customFormat="false" ht="12.8" hidden="false" customHeight="false" outlineLevel="0" collapsed="false"/>
    <row r="1044964" customFormat="false" ht="12.8" hidden="false" customHeight="false" outlineLevel="0" collapsed="false"/>
    <row r="1044965" customFormat="false" ht="12.8" hidden="false" customHeight="false" outlineLevel="0" collapsed="false"/>
    <row r="1044966" customFormat="false" ht="12.8" hidden="false" customHeight="false" outlineLevel="0" collapsed="false"/>
    <row r="1044967" customFormat="false" ht="12.8" hidden="false" customHeight="false" outlineLevel="0" collapsed="false"/>
    <row r="1044968" customFormat="false" ht="12.8" hidden="false" customHeight="false" outlineLevel="0" collapsed="false"/>
    <row r="1044969" customFormat="false" ht="12.8" hidden="false" customHeight="false" outlineLevel="0" collapsed="false"/>
    <row r="1044970" customFormat="false" ht="12.8" hidden="false" customHeight="false" outlineLevel="0" collapsed="false"/>
    <row r="1044971" customFormat="false" ht="12.8" hidden="false" customHeight="false" outlineLevel="0" collapsed="false"/>
    <row r="1044972" customFormat="false" ht="12.8" hidden="false" customHeight="false" outlineLevel="0" collapsed="false"/>
    <row r="1044973" customFormat="false" ht="12.8" hidden="false" customHeight="false" outlineLevel="0" collapsed="false"/>
    <row r="1044974" customFormat="false" ht="12.8" hidden="false" customHeight="false" outlineLevel="0" collapsed="false"/>
    <row r="1044975" customFormat="false" ht="12.8" hidden="false" customHeight="false" outlineLevel="0" collapsed="false"/>
    <row r="1044976" customFormat="false" ht="12.8" hidden="false" customHeight="false" outlineLevel="0" collapsed="false"/>
    <row r="1044977" customFormat="false" ht="12.8" hidden="false" customHeight="false" outlineLevel="0" collapsed="false"/>
    <row r="1044978" customFormat="false" ht="12.8" hidden="false" customHeight="false" outlineLevel="0" collapsed="false"/>
    <row r="1044979" customFormat="false" ht="12.8" hidden="false" customHeight="false" outlineLevel="0" collapsed="false"/>
    <row r="1044980" customFormat="false" ht="12.8" hidden="false" customHeight="false" outlineLevel="0" collapsed="false"/>
    <row r="1044981" customFormat="false" ht="12.8" hidden="false" customHeight="false" outlineLevel="0" collapsed="false"/>
    <row r="1044982" customFormat="false" ht="12.8" hidden="false" customHeight="false" outlineLevel="0" collapsed="false"/>
    <row r="1044983" customFormat="false" ht="12.8" hidden="false" customHeight="false" outlineLevel="0" collapsed="false"/>
    <row r="1044984" customFormat="false" ht="12.8" hidden="false" customHeight="false" outlineLevel="0" collapsed="false"/>
    <row r="1044985" customFormat="false" ht="12.8" hidden="false" customHeight="false" outlineLevel="0" collapsed="false"/>
    <row r="1044986" customFormat="false" ht="12.8" hidden="false" customHeight="false" outlineLevel="0" collapsed="false"/>
    <row r="1044987" customFormat="false" ht="12.8" hidden="false" customHeight="false" outlineLevel="0" collapsed="false"/>
    <row r="1044988" customFormat="false" ht="12.8" hidden="false" customHeight="false" outlineLevel="0" collapsed="false"/>
    <row r="1044989" customFormat="false" ht="12.8" hidden="false" customHeight="false" outlineLevel="0" collapsed="false"/>
    <row r="1044990" customFormat="false" ht="12.8" hidden="false" customHeight="false" outlineLevel="0" collapsed="false"/>
    <row r="1044991" customFormat="false" ht="12.8" hidden="false" customHeight="false" outlineLevel="0" collapsed="false"/>
    <row r="1044992" customFormat="false" ht="12.8" hidden="false" customHeight="false" outlineLevel="0" collapsed="false"/>
    <row r="1044993" customFormat="false" ht="12.8" hidden="false" customHeight="false" outlineLevel="0" collapsed="false"/>
    <row r="1044994" customFormat="false" ht="12.8" hidden="false" customHeight="false" outlineLevel="0" collapsed="false"/>
    <row r="1044995" customFormat="false" ht="12.8" hidden="false" customHeight="false" outlineLevel="0" collapsed="false"/>
    <row r="1044996" customFormat="false" ht="12.8" hidden="false" customHeight="false" outlineLevel="0" collapsed="false"/>
    <row r="1044997" customFormat="false" ht="12.8" hidden="false" customHeight="false" outlineLevel="0" collapsed="false"/>
    <row r="1044998" customFormat="false" ht="12.8" hidden="false" customHeight="false" outlineLevel="0" collapsed="false"/>
    <row r="1044999" customFormat="false" ht="12.8" hidden="false" customHeight="false" outlineLevel="0" collapsed="false"/>
    <row r="1045000" customFormat="false" ht="12.8" hidden="false" customHeight="false" outlineLevel="0" collapsed="false"/>
    <row r="1045001" customFormat="false" ht="12.8" hidden="false" customHeight="false" outlineLevel="0" collapsed="false"/>
    <row r="1045002" customFormat="false" ht="12.8" hidden="false" customHeight="false" outlineLevel="0" collapsed="false"/>
    <row r="1045003" customFormat="false" ht="12.8" hidden="false" customHeight="false" outlineLevel="0" collapsed="false"/>
    <row r="1045004" customFormat="false" ht="12.8" hidden="false" customHeight="false" outlineLevel="0" collapsed="false"/>
    <row r="1045005" customFormat="false" ht="12.8" hidden="false" customHeight="false" outlineLevel="0" collapsed="false"/>
    <row r="1045006" customFormat="false" ht="12.8" hidden="false" customHeight="false" outlineLevel="0" collapsed="false"/>
    <row r="1045007" customFormat="false" ht="12.8" hidden="false" customHeight="false" outlineLevel="0" collapsed="false"/>
    <row r="1045008" customFormat="false" ht="12.8" hidden="false" customHeight="false" outlineLevel="0" collapsed="false"/>
    <row r="1045009" customFormat="false" ht="12.8" hidden="false" customHeight="false" outlineLevel="0" collapsed="false"/>
    <row r="1045010" customFormat="false" ht="12.8" hidden="false" customHeight="false" outlineLevel="0" collapsed="false"/>
    <row r="1045011" customFormat="false" ht="12.8" hidden="false" customHeight="false" outlineLevel="0" collapsed="false"/>
    <row r="1045012" customFormat="false" ht="12.8" hidden="false" customHeight="false" outlineLevel="0" collapsed="false"/>
    <row r="1045013" customFormat="false" ht="12.8" hidden="false" customHeight="false" outlineLevel="0" collapsed="false"/>
    <row r="1045014" customFormat="false" ht="12.8" hidden="false" customHeight="false" outlineLevel="0" collapsed="false"/>
    <row r="1045015" customFormat="false" ht="12.8" hidden="false" customHeight="false" outlineLevel="0" collapsed="false"/>
    <row r="1045016" customFormat="false" ht="12.8" hidden="false" customHeight="false" outlineLevel="0" collapsed="false"/>
    <row r="1045017" customFormat="false" ht="12.8" hidden="false" customHeight="false" outlineLevel="0" collapsed="false"/>
    <row r="1045018" customFormat="false" ht="12.8" hidden="false" customHeight="false" outlineLevel="0" collapsed="false"/>
    <row r="1045019" customFormat="false" ht="12.8" hidden="false" customHeight="false" outlineLevel="0" collapsed="false"/>
    <row r="1045020" customFormat="false" ht="12.8" hidden="false" customHeight="false" outlineLevel="0" collapsed="false"/>
    <row r="1045021" customFormat="false" ht="12.8" hidden="false" customHeight="false" outlineLevel="0" collapsed="false"/>
    <row r="1045022" customFormat="false" ht="12.8" hidden="false" customHeight="false" outlineLevel="0" collapsed="false"/>
    <row r="1045023" customFormat="false" ht="12.8" hidden="false" customHeight="false" outlineLevel="0" collapsed="false"/>
    <row r="1045024" customFormat="false" ht="12.8" hidden="false" customHeight="false" outlineLevel="0" collapsed="false"/>
    <row r="1045025" customFormat="false" ht="12.8" hidden="false" customHeight="false" outlineLevel="0" collapsed="false"/>
    <row r="1045026" customFormat="false" ht="12.8" hidden="false" customHeight="false" outlineLevel="0" collapsed="false"/>
    <row r="1045027" customFormat="false" ht="12.8" hidden="false" customHeight="false" outlineLevel="0" collapsed="false"/>
    <row r="1045028" customFormat="false" ht="12.8" hidden="false" customHeight="false" outlineLevel="0" collapsed="false"/>
    <row r="1045029" customFormat="false" ht="12.8" hidden="false" customHeight="false" outlineLevel="0" collapsed="false"/>
    <row r="1045030" customFormat="false" ht="12.8" hidden="false" customHeight="false" outlineLevel="0" collapsed="false"/>
    <row r="1045031" customFormat="false" ht="12.8" hidden="false" customHeight="false" outlineLevel="0" collapsed="false"/>
    <row r="1045032" customFormat="false" ht="12.8" hidden="false" customHeight="false" outlineLevel="0" collapsed="false"/>
    <row r="1045033" customFormat="false" ht="12.8" hidden="false" customHeight="false" outlineLevel="0" collapsed="false"/>
    <row r="1045034" customFormat="false" ht="12.8" hidden="false" customHeight="false" outlineLevel="0" collapsed="false"/>
    <row r="1045035" customFormat="false" ht="12.8" hidden="false" customHeight="false" outlineLevel="0" collapsed="false"/>
    <row r="1045036" customFormat="false" ht="12.8" hidden="false" customHeight="false" outlineLevel="0" collapsed="false"/>
    <row r="1045037" customFormat="false" ht="12.8" hidden="false" customHeight="false" outlineLevel="0" collapsed="false"/>
    <row r="1045038" customFormat="false" ht="12.8" hidden="false" customHeight="false" outlineLevel="0" collapsed="false"/>
    <row r="1045039" customFormat="false" ht="12.8" hidden="false" customHeight="false" outlineLevel="0" collapsed="false"/>
    <row r="1045040" customFormat="false" ht="12.8" hidden="false" customHeight="false" outlineLevel="0" collapsed="false"/>
    <row r="1045041" customFormat="false" ht="12.8" hidden="false" customHeight="false" outlineLevel="0" collapsed="false"/>
    <row r="1045042" customFormat="false" ht="12.8" hidden="false" customHeight="false" outlineLevel="0" collapsed="false"/>
    <row r="1045043" customFormat="false" ht="12.8" hidden="false" customHeight="false" outlineLevel="0" collapsed="false"/>
    <row r="1045044" customFormat="false" ht="12.8" hidden="false" customHeight="false" outlineLevel="0" collapsed="false"/>
    <row r="1045045" customFormat="false" ht="12.8" hidden="false" customHeight="false" outlineLevel="0" collapsed="false"/>
    <row r="1045046" customFormat="false" ht="12.8" hidden="false" customHeight="false" outlineLevel="0" collapsed="false"/>
    <row r="1045047" customFormat="false" ht="12.8" hidden="false" customHeight="false" outlineLevel="0" collapsed="false"/>
    <row r="1045048" customFormat="false" ht="12.8" hidden="false" customHeight="false" outlineLevel="0" collapsed="false"/>
    <row r="1045049" customFormat="false" ht="12.8" hidden="false" customHeight="false" outlineLevel="0" collapsed="false"/>
    <row r="1045050" customFormat="false" ht="12.8" hidden="false" customHeight="false" outlineLevel="0" collapsed="false"/>
    <row r="1045051" customFormat="false" ht="12.8" hidden="false" customHeight="false" outlineLevel="0" collapsed="false"/>
    <row r="1045052" customFormat="false" ht="12.8" hidden="false" customHeight="false" outlineLevel="0" collapsed="false"/>
    <row r="1045053" customFormat="false" ht="12.8" hidden="false" customHeight="false" outlineLevel="0" collapsed="false"/>
    <row r="1045054" customFormat="false" ht="12.8" hidden="false" customHeight="false" outlineLevel="0" collapsed="false"/>
    <row r="1045055" customFormat="false" ht="12.8" hidden="false" customHeight="false" outlineLevel="0" collapsed="false"/>
    <row r="1045056" customFormat="false" ht="12.8" hidden="false" customHeight="false" outlineLevel="0" collapsed="false"/>
    <row r="1045057" customFormat="false" ht="12.8" hidden="false" customHeight="false" outlineLevel="0" collapsed="false"/>
    <row r="1045058" customFormat="false" ht="12.8" hidden="false" customHeight="false" outlineLevel="0" collapsed="false"/>
    <row r="1045059" customFormat="false" ht="12.8" hidden="false" customHeight="false" outlineLevel="0" collapsed="false"/>
    <row r="1045060" customFormat="false" ht="12.8" hidden="false" customHeight="false" outlineLevel="0" collapsed="false"/>
    <row r="1045061" customFormat="false" ht="12.8" hidden="false" customHeight="false" outlineLevel="0" collapsed="false"/>
    <row r="1045062" customFormat="false" ht="12.8" hidden="false" customHeight="false" outlineLevel="0" collapsed="false"/>
    <row r="1045063" customFormat="false" ht="12.8" hidden="false" customHeight="false" outlineLevel="0" collapsed="false"/>
    <row r="1045064" customFormat="false" ht="12.8" hidden="false" customHeight="false" outlineLevel="0" collapsed="false"/>
    <row r="1045065" customFormat="false" ht="12.8" hidden="false" customHeight="false" outlineLevel="0" collapsed="false"/>
    <row r="1045066" customFormat="false" ht="12.8" hidden="false" customHeight="false" outlineLevel="0" collapsed="false"/>
    <row r="1045067" customFormat="false" ht="12.8" hidden="false" customHeight="false" outlineLevel="0" collapsed="false"/>
    <row r="1045068" customFormat="false" ht="12.8" hidden="false" customHeight="false" outlineLevel="0" collapsed="false"/>
    <row r="1045069" customFormat="false" ht="12.8" hidden="false" customHeight="false" outlineLevel="0" collapsed="false"/>
    <row r="1045070" customFormat="false" ht="12.8" hidden="false" customHeight="false" outlineLevel="0" collapsed="false"/>
    <row r="1045071" customFormat="false" ht="12.8" hidden="false" customHeight="false" outlineLevel="0" collapsed="false"/>
    <row r="1045072" customFormat="false" ht="12.8" hidden="false" customHeight="false" outlineLevel="0" collapsed="false"/>
    <row r="1045073" customFormat="false" ht="12.8" hidden="false" customHeight="false" outlineLevel="0" collapsed="false"/>
    <row r="1045074" customFormat="false" ht="12.8" hidden="false" customHeight="false" outlineLevel="0" collapsed="false"/>
    <row r="1045075" customFormat="false" ht="12.8" hidden="false" customHeight="false" outlineLevel="0" collapsed="false"/>
    <row r="1045076" customFormat="false" ht="12.8" hidden="false" customHeight="false" outlineLevel="0" collapsed="false"/>
    <row r="1045077" customFormat="false" ht="12.8" hidden="false" customHeight="false" outlineLevel="0" collapsed="false"/>
    <row r="1045078" customFormat="false" ht="12.8" hidden="false" customHeight="false" outlineLevel="0" collapsed="false"/>
    <row r="1045079" customFormat="false" ht="12.8" hidden="false" customHeight="false" outlineLevel="0" collapsed="false"/>
    <row r="1045080" customFormat="false" ht="12.8" hidden="false" customHeight="false" outlineLevel="0" collapsed="false"/>
    <row r="1045081" customFormat="false" ht="12.8" hidden="false" customHeight="false" outlineLevel="0" collapsed="false"/>
    <row r="1045082" customFormat="false" ht="12.8" hidden="false" customHeight="false" outlineLevel="0" collapsed="false"/>
    <row r="1045083" customFormat="false" ht="12.8" hidden="false" customHeight="false" outlineLevel="0" collapsed="false"/>
    <row r="1045084" customFormat="false" ht="12.8" hidden="false" customHeight="false" outlineLevel="0" collapsed="false"/>
    <row r="1045085" customFormat="false" ht="12.8" hidden="false" customHeight="false" outlineLevel="0" collapsed="false"/>
    <row r="1045086" customFormat="false" ht="12.8" hidden="false" customHeight="false" outlineLevel="0" collapsed="false"/>
    <row r="1045087" customFormat="false" ht="12.8" hidden="false" customHeight="false" outlineLevel="0" collapsed="false"/>
    <row r="1045088" customFormat="false" ht="12.8" hidden="false" customHeight="false" outlineLevel="0" collapsed="false"/>
    <row r="1045089" customFormat="false" ht="12.8" hidden="false" customHeight="false" outlineLevel="0" collapsed="false"/>
    <row r="1045090" customFormat="false" ht="12.8" hidden="false" customHeight="false" outlineLevel="0" collapsed="false"/>
    <row r="1045091" customFormat="false" ht="12.8" hidden="false" customHeight="false" outlineLevel="0" collapsed="false"/>
    <row r="1045092" customFormat="false" ht="12.8" hidden="false" customHeight="false" outlineLevel="0" collapsed="false"/>
    <row r="1045093" customFormat="false" ht="12.8" hidden="false" customHeight="false" outlineLevel="0" collapsed="false"/>
    <row r="1045094" customFormat="false" ht="12.8" hidden="false" customHeight="false" outlineLevel="0" collapsed="false"/>
    <row r="1045095" customFormat="false" ht="12.8" hidden="false" customHeight="false" outlineLevel="0" collapsed="false"/>
    <row r="1045096" customFormat="false" ht="12.8" hidden="false" customHeight="false" outlineLevel="0" collapsed="false"/>
    <row r="1045097" customFormat="false" ht="12.8" hidden="false" customHeight="false" outlineLevel="0" collapsed="false"/>
    <row r="1045098" customFormat="false" ht="12.8" hidden="false" customHeight="false" outlineLevel="0" collapsed="false"/>
    <row r="1045099" customFormat="false" ht="12.8" hidden="false" customHeight="false" outlineLevel="0" collapsed="false"/>
    <row r="1045100" customFormat="false" ht="12.8" hidden="false" customHeight="false" outlineLevel="0" collapsed="false"/>
    <row r="1045101" customFormat="false" ht="12.8" hidden="false" customHeight="false" outlineLevel="0" collapsed="false"/>
    <row r="1045102" customFormat="false" ht="12.8" hidden="false" customHeight="false" outlineLevel="0" collapsed="false"/>
    <row r="1045103" customFormat="false" ht="12.8" hidden="false" customHeight="false" outlineLevel="0" collapsed="false"/>
    <row r="1045104" customFormat="false" ht="12.8" hidden="false" customHeight="false" outlineLevel="0" collapsed="false"/>
    <row r="1045105" customFormat="false" ht="12.8" hidden="false" customHeight="false" outlineLevel="0" collapsed="false"/>
    <row r="1045106" customFormat="false" ht="12.8" hidden="false" customHeight="false" outlineLevel="0" collapsed="false"/>
    <row r="1045107" customFormat="false" ht="12.8" hidden="false" customHeight="false" outlineLevel="0" collapsed="false"/>
    <row r="1045108" customFormat="false" ht="12.8" hidden="false" customHeight="false" outlineLevel="0" collapsed="false"/>
    <row r="1045109" customFormat="false" ht="12.8" hidden="false" customHeight="false" outlineLevel="0" collapsed="false"/>
    <row r="1045110" customFormat="false" ht="12.8" hidden="false" customHeight="false" outlineLevel="0" collapsed="false"/>
    <row r="1045111" customFormat="false" ht="12.8" hidden="false" customHeight="false" outlineLevel="0" collapsed="false"/>
    <row r="1045112" customFormat="false" ht="12.8" hidden="false" customHeight="false" outlineLevel="0" collapsed="false"/>
    <row r="1045113" customFormat="false" ht="12.8" hidden="false" customHeight="false" outlineLevel="0" collapsed="false"/>
    <row r="1045114" customFormat="false" ht="12.8" hidden="false" customHeight="false" outlineLevel="0" collapsed="false"/>
    <row r="1045115" customFormat="false" ht="12.8" hidden="false" customHeight="false" outlineLevel="0" collapsed="false"/>
    <row r="1045116" customFormat="false" ht="12.8" hidden="false" customHeight="false" outlineLevel="0" collapsed="false"/>
    <row r="1045117" customFormat="false" ht="12.8" hidden="false" customHeight="false" outlineLevel="0" collapsed="false"/>
    <row r="1045118" customFormat="false" ht="12.8" hidden="false" customHeight="false" outlineLevel="0" collapsed="false"/>
    <row r="1045119" customFormat="false" ht="12.8" hidden="false" customHeight="false" outlineLevel="0" collapsed="false"/>
    <row r="1045120" customFormat="false" ht="12.8" hidden="false" customHeight="false" outlineLevel="0" collapsed="false"/>
    <row r="1045121" customFormat="false" ht="12.8" hidden="false" customHeight="false" outlineLevel="0" collapsed="false"/>
    <row r="1045122" customFormat="false" ht="12.8" hidden="false" customHeight="false" outlineLevel="0" collapsed="false"/>
    <row r="1045123" customFormat="false" ht="12.8" hidden="false" customHeight="false" outlineLevel="0" collapsed="false"/>
    <row r="1045124" customFormat="false" ht="12.8" hidden="false" customHeight="false" outlineLevel="0" collapsed="false"/>
    <row r="1045125" customFormat="false" ht="12.8" hidden="false" customHeight="false" outlineLevel="0" collapsed="false"/>
    <row r="1045126" customFormat="false" ht="12.8" hidden="false" customHeight="false" outlineLevel="0" collapsed="false"/>
    <row r="1045127" customFormat="false" ht="12.8" hidden="false" customHeight="false" outlineLevel="0" collapsed="false"/>
    <row r="1045128" customFormat="false" ht="12.8" hidden="false" customHeight="false" outlineLevel="0" collapsed="false"/>
    <row r="1045129" customFormat="false" ht="12.8" hidden="false" customHeight="false" outlineLevel="0" collapsed="false"/>
    <row r="1045130" customFormat="false" ht="12.8" hidden="false" customHeight="false" outlineLevel="0" collapsed="false"/>
    <row r="1045131" customFormat="false" ht="12.8" hidden="false" customHeight="false" outlineLevel="0" collapsed="false"/>
    <row r="1045132" customFormat="false" ht="12.8" hidden="false" customHeight="false" outlineLevel="0" collapsed="false"/>
    <row r="1045133" customFormat="false" ht="12.8" hidden="false" customHeight="false" outlineLevel="0" collapsed="false"/>
    <row r="1045134" customFormat="false" ht="12.8" hidden="false" customHeight="false" outlineLevel="0" collapsed="false"/>
    <row r="1045135" customFormat="false" ht="12.8" hidden="false" customHeight="false" outlineLevel="0" collapsed="false"/>
    <row r="1045136" customFormat="false" ht="12.8" hidden="false" customHeight="false" outlineLevel="0" collapsed="false"/>
    <row r="1045137" customFormat="false" ht="12.8" hidden="false" customHeight="false" outlineLevel="0" collapsed="false"/>
    <row r="1045138" customFormat="false" ht="12.8" hidden="false" customHeight="false" outlineLevel="0" collapsed="false"/>
    <row r="1045139" customFormat="false" ht="12.8" hidden="false" customHeight="false" outlineLevel="0" collapsed="false"/>
    <row r="1045140" customFormat="false" ht="12.8" hidden="false" customHeight="false" outlineLevel="0" collapsed="false"/>
    <row r="1045141" customFormat="false" ht="12.8" hidden="false" customHeight="false" outlineLevel="0" collapsed="false"/>
    <row r="1045142" customFormat="false" ht="12.8" hidden="false" customHeight="false" outlineLevel="0" collapsed="false"/>
    <row r="1045143" customFormat="false" ht="12.8" hidden="false" customHeight="false" outlineLevel="0" collapsed="false"/>
    <row r="1045144" customFormat="false" ht="12.8" hidden="false" customHeight="false" outlineLevel="0" collapsed="false"/>
    <row r="1045145" customFormat="false" ht="12.8" hidden="false" customHeight="false" outlineLevel="0" collapsed="false"/>
    <row r="1045146" customFormat="false" ht="12.8" hidden="false" customHeight="false" outlineLevel="0" collapsed="false"/>
    <row r="1045147" customFormat="false" ht="12.8" hidden="false" customHeight="false" outlineLevel="0" collapsed="false"/>
    <row r="1045148" customFormat="false" ht="12.8" hidden="false" customHeight="false" outlineLevel="0" collapsed="false"/>
    <row r="1045149" customFormat="false" ht="12.8" hidden="false" customHeight="false" outlineLevel="0" collapsed="false"/>
    <row r="1045150" customFormat="false" ht="12.8" hidden="false" customHeight="false" outlineLevel="0" collapsed="false"/>
    <row r="1045151" customFormat="false" ht="12.8" hidden="false" customHeight="false" outlineLevel="0" collapsed="false"/>
    <row r="1045152" customFormat="false" ht="12.8" hidden="false" customHeight="false" outlineLevel="0" collapsed="false"/>
    <row r="1045153" customFormat="false" ht="12.8" hidden="false" customHeight="false" outlineLevel="0" collapsed="false"/>
    <row r="1045154" customFormat="false" ht="12.8" hidden="false" customHeight="false" outlineLevel="0" collapsed="false"/>
    <row r="1045155" customFormat="false" ht="12.8" hidden="false" customHeight="false" outlineLevel="0" collapsed="false"/>
    <row r="1045156" customFormat="false" ht="12.8" hidden="false" customHeight="false" outlineLevel="0" collapsed="false"/>
    <row r="1045157" customFormat="false" ht="12.8" hidden="false" customHeight="false" outlineLevel="0" collapsed="false"/>
    <row r="1045158" customFormat="false" ht="12.8" hidden="false" customHeight="false" outlineLevel="0" collapsed="false"/>
    <row r="1045159" customFormat="false" ht="12.8" hidden="false" customHeight="false" outlineLevel="0" collapsed="false"/>
    <row r="1045160" customFormat="false" ht="12.8" hidden="false" customHeight="false" outlineLevel="0" collapsed="false"/>
    <row r="1045161" customFormat="false" ht="12.8" hidden="false" customHeight="false" outlineLevel="0" collapsed="false"/>
    <row r="1045162" customFormat="false" ht="12.8" hidden="false" customHeight="false" outlineLevel="0" collapsed="false"/>
    <row r="1045163" customFormat="false" ht="12.8" hidden="false" customHeight="false" outlineLevel="0" collapsed="false"/>
    <row r="1045164" customFormat="false" ht="12.8" hidden="false" customHeight="false" outlineLevel="0" collapsed="false"/>
    <row r="1045165" customFormat="false" ht="12.8" hidden="false" customHeight="false" outlineLevel="0" collapsed="false"/>
    <row r="1045166" customFormat="false" ht="12.8" hidden="false" customHeight="false" outlineLevel="0" collapsed="false"/>
    <row r="1045167" customFormat="false" ht="12.8" hidden="false" customHeight="false" outlineLevel="0" collapsed="false"/>
    <row r="1045168" customFormat="false" ht="12.8" hidden="false" customHeight="false" outlineLevel="0" collapsed="false"/>
    <row r="1045169" customFormat="false" ht="12.8" hidden="false" customHeight="false" outlineLevel="0" collapsed="false"/>
    <row r="1045170" customFormat="false" ht="12.8" hidden="false" customHeight="false" outlineLevel="0" collapsed="false"/>
    <row r="1045171" customFormat="false" ht="12.8" hidden="false" customHeight="false" outlineLevel="0" collapsed="false"/>
    <row r="1045172" customFormat="false" ht="12.8" hidden="false" customHeight="false" outlineLevel="0" collapsed="false"/>
    <row r="1045173" customFormat="false" ht="12.8" hidden="false" customHeight="false" outlineLevel="0" collapsed="false"/>
    <row r="1045174" customFormat="false" ht="12.8" hidden="false" customHeight="false" outlineLevel="0" collapsed="false"/>
    <row r="1045175" customFormat="false" ht="12.8" hidden="false" customHeight="false" outlineLevel="0" collapsed="false"/>
    <row r="1045176" customFormat="false" ht="12.8" hidden="false" customHeight="false" outlineLevel="0" collapsed="false"/>
    <row r="1045177" customFormat="false" ht="12.8" hidden="false" customHeight="false" outlineLevel="0" collapsed="false"/>
    <row r="1045178" customFormat="false" ht="12.8" hidden="false" customHeight="false" outlineLevel="0" collapsed="false"/>
    <row r="1045179" customFormat="false" ht="12.8" hidden="false" customHeight="false" outlineLevel="0" collapsed="false"/>
    <row r="1045180" customFormat="false" ht="12.8" hidden="false" customHeight="false" outlineLevel="0" collapsed="false"/>
    <row r="1045181" customFormat="false" ht="12.8" hidden="false" customHeight="false" outlineLevel="0" collapsed="false"/>
    <row r="1045182" customFormat="false" ht="12.8" hidden="false" customHeight="false" outlineLevel="0" collapsed="false"/>
    <row r="1045183" customFormat="false" ht="12.8" hidden="false" customHeight="false" outlineLevel="0" collapsed="false"/>
    <row r="1045184" customFormat="false" ht="12.8" hidden="false" customHeight="false" outlineLevel="0" collapsed="false"/>
    <row r="1045185" customFormat="false" ht="12.8" hidden="false" customHeight="false" outlineLevel="0" collapsed="false"/>
    <row r="1045186" customFormat="false" ht="12.8" hidden="false" customHeight="false" outlineLevel="0" collapsed="false"/>
    <row r="1045187" customFormat="false" ht="12.8" hidden="false" customHeight="false" outlineLevel="0" collapsed="false"/>
    <row r="1045188" customFormat="false" ht="12.8" hidden="false" customHeight="false" outlineLevel="0" collapsed="false"/>
    <row r="1045189" customFormat="false" ht="12.8" hidden="false" customHeight="false" outlineLevel="0" collapsed="false"/>
    <row r="1045190" customFormat="false" ht="12.8" hidden="false" customHeight="false" outlineLevel="0" collapsed="false"/>
    <row r="1045191" customFormat="false" ht="12.8" hidden="false" customHeight="false" outlineLevel="0" collapsed="false"/>
    <row r="1045192" customFormat="false" ht="12.8" hidden="false" customHeight="false" outlineLevel="0" collapsed="false"/>
    <row r="1045193" customFormat="false" ht="12.8" hidden="false" customHeight="false" outlineLevel="0" collapsed="false"/>
    <row r="1045194" customFormat="false" ht="12.8" hidden="false" customHeight="false" outlineLevel="0" collapsed="false"/>
    <row r="1045195" customFormat="false" ht="12.8" hidden="false" customHeight="false" outlineLevel="0" collapsed="false"/>
    <row r="1045196" customFormat="false" ht="12.8" hidden="false" customHeight="false" outlineLevel="0" collapsed="false"/>
    <row r="1045197" customFormat="false" ht="12.8" hidden="false" customHeight="false" outlineLevel="0" collapsed="false"/>
    <row r="1045198" customFormat="false" ht="12.8" hidden="false" customHeight="false" outlineLevel="0" collapsed="false"/>
    <row r="1045199" customFormat="false" ht="12.8" hidden="false" customHeight="false" outlineLevel="0" collapsed="false"/>
    <row r="1045200" customFormat="false" ht="12.8" hidden="false" customHeight="false" outlineLevel="0" collapsed="false"/>
    <row r="1045201" customFormat="false" ht="12.8" hidden="false" customHeight="false" outlineLevel="0" collapsed="false"/>
    <row r="1045202" customFormat="false" ht="12.8" hidden="false" customHeight="false" outlineLevel="0" collapsed="false"/>
    <row r="1045203" customFormat="false" ht="12.8" hidden="false" customHeight="false" outlineLevel="0" collapsed="false"/>
    <row r="1045204" customFormat="false" ht="12.8" hidden="false" customHeight="false" outlineLevel="0" collapsed="false"/>
    <row r="1045205" customFormat="false" ht="12.8" hidden="false" customHeight="false" outlineLevel="0" collapsed="false"/>
    <row r="1045206" customFormat="false" ht="12.8" hidden="false" customHeight="false" outlineLevel="0" collapsed="false"/>
    <row r="1045207" customFormat="false" ht="12.8" hidden="false" customHeight="false" outlineLevel="0" collapsed="false"/>
    <row r="1045208" customFormat="false" ht="12.8" hidden="false" customHeight="false" outlineLevel="0" collapsed="false"/>
    <row r="1045209" customFormat="false" ht="12.8" hidden="false" customHeight="false" outlineLevel="0" collapsed="false"/>
    <row r="1045210" customFormat="false" ht="12.8" hidden="false" customHeight="false" outlineLevel="0" collapsed="false"/>
    <row r="1045211" customFormat="false" ht="12.8" hidden="false" customHeight="false" outlineLevel="0" collapsed="false"/>
    <row r="1045212" customFormat="false" ht="12.8" hidden="false" customHeight="false" outlineLevel="0" collapsed="false"/>
    <row r="1045213" customFormat="false" ht="12.8" hidden="false" customHeight="false" outlineLevel="0" collapsed="false"/>
    <row r="1045214" customFormat="false" ht="12.8" hidden="false" customHeight="false" outlineLevel="0" collapsed="false"/>
    <row r="1045215" customFormat="false" ht="12.8" hidden="false" customHeight="false" outlineLevel="0" collapsed="false"/>
    <row r="1045216" customFormat="false" ht="12.8" hidden="false" customHeight="false" outlineLevel="0" collapsed="false"/>
    <row r="1045217" customFormat="false" ht="12.8" hidden="false" customHeight="false" outlineLevel="0" collapsed="false"/>
    <row r="1045218" customFormat="false" ht="12.8" hidden="false" customHeight="false" outlineLevel="0" collapsed="false"/>
    <row r="1045219" customFormat="false" ht="12.8" hidden="false" customHeight="false" outlineLevel="0" collapsed="false"/>
    <row r="1045220" customFormat="false" ht="12.8" hidden="false" customHeight="false" outlineLevel="0" collapsed="false"/>
    <row r="1045221" customFormat="false" ht="12.8" hidden="false" customHeight="false" outlineLevel="0" collapsed="false"/>
    <row r="1045222" customFormat="false" ht="12.8" hidden="false" customHeight="false" outlineLevel="0" collapsed="false"/>
    <row r="1045223" customFormat="false" ht="12.8" hidden="false" customHeight="false" outlineLevel="0" collapsed="false"/>
    <row r="1045224" customFormat="false" ht="12.8" hidden="false" customHeight="false" outlineLevel="0" collapsed="false"/>
    <row r="1045225" customFormat="false" ht="12.8" hidden="false" customHeight="false" outlineLevel="0" collapsed="false"/>
    <row r="1045226" customFormat="false" ht="12.8" hidden="false" customHeight="false" outlineLevel="0" collapsed="false"/>
    <row r="1045227" customFormat="false" ht="12.8" hidden="false" customHeight="false" outlineLevel="0" collapsed="false"/>
    <row r="1045228" customFormat="false" ht="12.8" hidden="false" customHeight="false" outlineLevel="0" collapsed="false"/>
    <row r="1045229" customFormat="false" ht="12.8" hidden="false" customHeight="false" outlineLevel="0" collapsed="false"/>
    <row r="1045230" customFormat="false" ht="12.8" hidden="false" customHeight="false" outlineLevel="0" collapsed="false"/>
    <row r="1045231" customFormat="false" ht="12.8" hidden="false" customHeight="false" outlineLevel="0" collapsed="false"/>
    <row r="1045232" customFormat="false" ht="12.8" hidden="false" customHeight="false" outlineLevel="0" collapsed="false"/>
    <row r="1045233" customFormat="false" ht="12.8" hidden="false" customHeight="false" outlineLevel="0" collapsed="false"/>
    <row r="1045234" customFormat="false" ht="12.8" hidden="false" customHeight="false" outlineLevel="0" collapsed="false"/>
    <row r="1045235" customFormat="false" ht="12.8" hidden="false" customHeight="false" outlineLevel="0" collapsed="false"/>
    <row r="1045236" customFormat="false" ht="12.8" hidden="false" customHeight="false" outlineLevel="0" collapsed="false"/>
    <row r="1045237" customFormat="false" ht="12.8" hidden="false" customHeight="false" outlineLevel="0" collapsed="false"/>
    <row r="1045238" customFormat="false" ht="12.8" hidden="false" customHeight="false" outlineLevel="0" collapsed="false"/>
    <row r="1045239" customFormat="false" ht="12.8" hidden="false" customHeight="false" outlineLevel="0" collapsed="false"/>
    <row r="1045240" customFormat="false" ht="12.8" hidden="false" customHeight="false" outlineLevel="0" collapsed="false"/>
    <row r="1045241" customFormat="false" ht="12.8" hidden="false" customHeight="false" outlineLevel="0" collapsed="false"/>
    <row r="1045242" customFormat="false" ht="12.8" hidden="false" customHeight="false" outlineLevel="0" collapsed="false"/>
    <row r="1045243" customFormat="false" ht="12.8" hidden="false" customHeight="false" outlineLevel="0" collapsed="false"/>
    <row r="1045244" customFormat="false" ht="12.8" hidden="false" customHeight="false" outlineLevel="0" collapsed="false"/>
    <row r="1045245" customFormat="false" ht="12.8" hidden="false" customHeight="false" outlineLevel="0" collapsed="false"/>
    <row r="1045246" customFormat="false" ht="12.8" hidden="false" customHeight="false" outlineLevel="0" collapsed="false"/>
    <row r="1045247" customFormat="false" ht="12.8" hidden="false" customHeight="false" outlineLevel="0" collapsed="false"/>
    <row r="1045248" customFormat="false" ht="12.8" hidden="false" customHeight="false" outlineLevel="0" collapsed="false"/>
    <row r="1045249" customFormat="false" ht="12.8" hidden="false" customHeight="false" outlineLevel="0" collapsed="false"/>
    <row r="1045250" customFormat="false" ht="12.8" hidden="false" customHeight="false" outlineLevel="0" collapsed="false"/>
    <row r="1045251" customFormat="false" ht="12.8" hidden="false" customHeight="false" outlineLevel="0" collapsed="false"/>
    <row r="1045252" customFormat="false" ht="12.8" hidden="false" customHeight="false" outlineLevel="0" collapsed="false"/>
    <row r="1045253" customFormat="false" ht="12.8" hidden="false" customHeight="false" outlineLevel="0" collapsed="false"/>
    <row r="1045254" customFormat="false" ht="12.8" hidden="false" customHeight="false" outlineLevel="0" collapsed="false"/>
    <row r="1045255" customFormat="false" ht="12.8" hidden="false" customHeight="false" outlineLevel="0" collapsed="false"/>
    <row r="1045256" customFormat="false" ht="12.8" hidden="false" customHeight="false" outlineLevel="0" collapsed="false"/>
    <row r="1045257" customFormat="false" ht="12.8" hidden="false" customHeight="false" outlineLevel="0" collapsed="false"/>
    <row r="1045258" customFormat="false" ht="12.8" hidden="false" customHeight="false" outlineLevel="0" collapsed="false"/>
    <row r="1045259" customFormat="false" ht="12.8" hidden="false" customHeight="false" outlineLevel="0" collapsed="false"/>
    <row r="1045260" customFormat="false" ht="12.8" hidden="false" customHeight="false" outlineLevel="0" collapsed="false"/>
    <row r="1045261" customFormat="false" ht="12.8" hidden="false" customHeight="false" outlineLevel="0" collapsed="false"/>
    <row r="1045262" customFormat="false" ht="12.8" hidden="false" customHeight="false" outlineLevel="0" collapsed="false"/>
    <row r="1045263" customFormat="false" ht="12.8" hidden="false" customHeight="false" outlineLevel="0" collapsed="false"/>
    <row r="1045264" customFormat="false" ht="12.8" hidden="false" customHeight="false" outlineLevel="0" collapsed="false"/>
    <row r="1045265" customFormat="false" ht="12.8" hidden="false" customHeight="false" outlineLevel="0" collapsed="false"/>
    <row r="1045266" customFormat="false" ht="12.8" hidden="false" customHeight="false" outlineLevel="0" collapsed="false"/>
    <row r="1045267" customFormat="false" ht="12.8" hidden="false" customHeight="false" outlineLevel="0" collapsed="false"/>
    <row r="1045268" customFormat="false" ht="12.8" hidden="false" customHeight="false" outlineLevel="0" collapsed="false"/>
    <row r="1045269" customFormat="false" ht="12.8" hidden="false" customHeight="false" outlineLevel="0" collapsed="false"/>
    <row r="1045270" customFormat="false" ht="12.8" hidden="false" customHeight="false" outlineLevel="0" collapsed="false"/>
    <row r="1045271" customFormat="false" ht="12.8" hidden="false" customHeight="false" outlineLevel="0" collapsed="false"/>
    <row r="1045272" customFormat="false" ht="12.8" hidden="false" customHeight="false" outlineLevel="0" collapsed="false"/>
    <row r="1045273" customFormat="false" ht="12.8" hidden="false" customHeight="false" outlineLevel="0" collapsed="false"/>
    <row r="1045274" customFormat="false" ht="12.8" hidden="false" customHeight="false" outlineLevel="0" collapsed="false"/>
    <row r="1045275" customFormat="false" ht="12.8" hidden="false" customHeight="false" outlineLevel="0" collapsed="false"/>
    <row r="1045276" customFormat="false" ht="12.8" hidden="false" customHeight="false" outlineLevel="0" collapsed="false"/>
    <row r="1045277" customFormat="false" ht="12.8" hidden="false" customHeight="false" outlineLevel="0" collapsed="false"/>
    <row r="1045278" customFormat="false" ht="12.8" hidden="false" customHeight="false" outlineLevel="0" collapsed="false"/>
    <row r="1045279" customFormat="false" ht="12.8" hidden="false" customHeight="false" outlineLevel="0" collapsed="false"/>
    <row r="1045280" customFormat="false" ht="12.8" hidden="false" customHeight="false" outlineLevel="0" collapsed="false"/>
    <row r="1045281" customFormat="false" ht="12.8" hidden="false" customHeight="false" outlineLevel="0" collapsed="false"/>
    <row r="1045282" customFormat="false" ht="12.8" hidden="false" customHeight="false" outlineLevel="0" collapsed="false"/>
    <row r="1045283" customFormat="false" ht="12.8" hidden="false" customHeight="false" outlineLevel="0" collapsed="false"/>
    <row r="1045284" customFormat="false" ht="12.8" hidden="false" customHeight="false" outlineLevel="0" collapsed="false"/>
    <row r="1045285" customFormat="false" ht="12.8" hidden="false" customHeight="false" outlineLevel="0" collapsed="false"/>
    <row r="1045286" customFormat="false" ht="12.8" hidden="false" customHeight="false" outlineLevel="0" collapsed="false"/>
    <row r="1045287" customFormat="false" ht="12.8" hidden="false" customHeight="false" outlineLevel="0" collapsed="false"/>
    <row r="1045288" customFormat="false" ht="12.8" hidden="false" customHeight="false" outlineLevel="0" collapsed="false"/>
    <row r="1045289" customFormat="false" ht="12.8" hidden="false" customHeight="false" outlineLevel="0" collapsed="false"/>
    <row r="1045290" customFormat="false" ht="12.8" hidden="false" customHeight="false" outlineLevel="0" collapsed="false"/>
    <row r="1045291" customFormat="false" ht="12.8" hidden="false" customHeight="false" outlineLevel="0" collapsed="false"/>
    <row r="1045292" customFormat="false" ht="12.8" hidden="false" customHeight="false" outlineLevel="0" collapsed="false"/>
    <row r="1045293" customFormat="false" ht="12.8" hidden="false" customHeight="false" outlineLevel="0" collapsed="false"/>
    <row r="1045294" customFormat="false" ht="12.8" hidden="false" customHeight="false" outlineLevel="0" collapsed="false"/>
    <row r="1045295" customFormat="false" ht="12.8" hidden="false" customHeight="false" outlineLevel="0" collapsed="false"/>
    <row r="1045296" customFormat="false" ht="12.8" hidden="false" customHeight="false" outlineLevel="0" collapsed="false"/>
    <row r="1045297" customFormat="false" ht="12.8" hidden="false" customHeight="false" outlineLevel="0" collapsed="false"/>
    <row r="1045298" customFormat="false" ht="12.8" hidden="false" customHeight="false" outlineLevel="0" collapsed="false"/>
    <row r="1045299" customFormat="false" ht="12.8" hidden="false" customHeight="false" outlineLevel="0" collapsed="false"/>
    <row r="1045300" customFormat="false" ht="12.8" hidden="false" customHeight="false" outlineLevel="0" collapsed="false"/>
    <row r="1045301" customFormat="false" ht="12.8" hidden="false" customHeight="false" outlineLevel="0" collapsed="false"/>
    <row r="1045302" customFormat="false" ht="12.8" hidden="false" customHeight="false" outlineLevel="0" collapsed="false"/>
    <row r="1045303" customFormat="false" ht="12.8" hidden="false" customHeight="false" outlineLevel="0" collapsed="false"/>
    <row r="1045304" customFormat="false" ht="12.8" hidden="false" customHeight="false" outlineLevel="0" collapsed="false"/>
    <row r="1045305" customFormat="false" ht="12.8" hidden="false" customHeight="false" outlineLevel="0" collapsed="false"/>
    <row r="1045306" customFormat="false" ht="12.8" hidden="false" customHeight="false" outlineLevel="0" collapsed="false"/>
    <row r="1045307" customFormat="false" ht="12.8" hidden="false" customHeight="false" outlineLevel="0" collapsed="false"/>
    <row r="1045308" customFormat="false" ht="12.8" hidden="false" customHeight="false" outlineLevel="0" collapsed="false"/>
    <row r="1045309" customFormat="false" ht="12.8" hidden="false" customHeight="false" outlineLevel="0" collapsed="false"/>
    <row r="1045310" customFormat="false" ht="12.8" hidden="false" customHeight="false" outlineLevel="0" collapsed="false"/>
    <row r="1045311" customFormat="false" ht="12.8" hidden="false" customHeight="false" outlineLevel="0" collapsed="false"/>
    <row r="1045312" customFormat="false" ht="12.8" hidden="false" customHeight="false" outlineLevel="0" collapsed="false"/>
    <row r="1045313" customFormat="false" ht="12.8" hidden="false" customHeight="false" outlineLevel="0" collapsed="false"/>
    <row r="1045314" customFormat="false" ht="12.8" hidden="false" customHeight="false" outlineLevel="0" collapsed="false"/>
    <row r="1045315" customFormat="false" ht="12.8" hidden="false" customHeight="false" outlineLevel="0" collapsed="false"/>
    <row r="1045316" customFormat="false" ht="12.8" hidden="false" customHeight="false" outlineLevel="0" collapsed="false"/>
    <row r="1045317" customFormat="false" ht="12.8" hidden="false" customHeight="false" outlineLevel="0" collapsed="false"/>
    <row r="1045318" customFormat="false" ht="12.8" hidden="false" customHeight="false" outlineLevel="0" collapsed="false"/>
    <row r="1045319" customFormat="false" ht="12.8" hidden="false" customHeight="false" outlineLevel="0" collapsed="false"/>
    <row r="1045320" customFormat="false" ht="12.8" hidden="false" customHeight="false" outlineLevel="0" collapsed="false"/>
    <row r="1045321" customFormat="false" ht="12.8" hidden="false" customHeight="false" outlineLevel="0" collapsed="false"/>
    <row r="1045322" customFormat="false" ht="12.8" hidden="false" customHeight="false" outlineLevel="0" collapsed="false"/>
    <row r="1045323" customFormat="false" ht="12.8" hidden="false" customHeight="false" outlineLevel="0" collapsed="false"/>
    <row r="1045324" customFormat="false" ht="12.8" hidden="false" customHeight="false" outlineLevel="0" collapsed="false"/>
    <row r="1045325" customFormat="false" ht="12.8" hidden="false" customHeight="false" outlineLevel="0" collapsed="false"/>
    <row r="1045326" customFormat="false" ht="12.8" hidden="false" customHeight="false" outlineLevel="0" collapsed="false"/>
    <row r="1045327" customFormat="false" ht="12.8" hidden="false" customHeight="false" outlineLevel="0" collapsed="false"/>
    <row r="1045328" customFormat="false" ht="12.8" hidden="false" customHeight="false" outlineLevel="0" collapsed="false"/>
    <row r="1045329" customFormat="false" ht="12.8" hidden="false" customHeight="false" outlineLevel="0" collapsed="false"/>
    <row r="1045330" customFormat="false" ht="12.8" hidden="false" customHeight="false" outlineLevel="0" collapsed="false"/>
    <row r="1045331" customFormat="false" ht="12.8" hidden="false" customHeight="false" outlineLevel="0" collapsed="false"/>
    <row r="1045332" customFormat="false" ht="12.8" hidden="false" customHeight="false" outlineLevel="0" collapsed="false"/>
    <row r="1045333" customFormat="false" ht="12.8" hidden="false" customHeight="false" outlineLevel="0" collapsed="false"/>
    <row r="1045334" customFormat="false" ht="12.8" hidden="false" customHeight="false" outlineLevel="0" collapsed="false"/>
    <row r="1045335" customFormat="false" ht="12.8" hidden="false" customHeight="false" outlineLevel="0" collapsed="false"/>
    <row r="1045336" customFormat="false" ht="12.8" hidden="false" customHeight="false" outlineLevel="0" collapsed="false"/>
    <row r="1045337" customFormat="false" ht="12.8" hidden="false" customHeight="false" outlineLevel="0" collapsed="false"/>
    <row r="1045338" customFormat="false" ht="12.8" hidden="false" customHeight="false" outlineLevel="0" collapsed="false"/>
    <row r="1045339" customFormat="false" ht="12.8" hidden="false" customHeight="false" outlineLevel="0" collapsed="false"/>
    <row r="1045340" customFormat="false" ht="12.8" hidden="false" customHeight="false" outlineLevel="0" collapsed="false"/>
    <row r="1045341" customFormat="false" ht="12.8" hidden="false" customHeight="false" outlineLevel="0" collapsed="false"/>
    <row r="1045342" customFormat="false" ht="12.8" hidden="false" customHeight="false" outlineLevel="0" collapsed="false"/>
    <row r="1045343" customFormat="false" ht="12.8" hidden="false" customHeight="false" outlineLevel="0" collapsed="false"/>
    <row r="1045344" customFormat="false" ht="12.8" hidden="false" customHeight="false" outlineLevel="0" collapsed="false"/>
    <row r="1045345" customFormat="false" ht="12.8" hidden="false" customHeight="false" outlineLevel="0" collapsed="false"/>
    <row r="1045346" customFormat="false" ht="12.8" hidden="false" customHeight="false" outlineLevel="0" collapsed="false"/>
    <row r="1045347" customFormat="false" ht="12.8" hidden="false" customHeight="false" outlineLevel="0" collapsed="false"/>
    <row r="1045348" customFormat="false" ht="12.8" hidden="false" customHeight="false" outlineLevel="0" collapsed="false"/>
    <row r="1045349" customFormat="false" ht="12.8" hidden="false" customHeight="false" outlineLevel="0" collapsed="false"/>
    <row r="1045350" customFormat="false" ht="12.8" hidden="false" customHeight="false" outlineLevel="0" collapsed="false"/>
    <row r="1045351" customFormat="false" ht="12.8" hidden="false" customHeight="false" outlineLevel="0" collapsed="false"/>
    <row r="1045352" customFormat="false" ht="12.8" hidden="false" customHeight="false" outlineLevel="0" collapsed="false"/>
    <row r="1045353" customFormat="false" ht="12.8" hidden="false" customHeight="false" outlineLevel="0" collapsed="false"/>
    <row r="1045354" customFormat="false" ht="12.8" hidden="false" customHeight="false" outlineLevel="0" collapsed="false"/>
    <row r="1045355" customFormat="false" ht="12.8" hidden="false" customHeight="false" outlineLevel="0" collapsed="false"/>
    <row r="1045356" customFormat="false" ht="12.8" hidden="false" customHeight="false" outlineLevel="0" collapsed="false"/>
    <row r="1045357" customFormat="false" ht="12.8" hidden="false" customHeight="false" outlineLevel="0" collapsed="false"/>
    <row r="1045358" customFormat="false" ht="12.8" hidden="false" customHeight="false" outlineLevel="0" collapsed="false"/>
    <row r="1045359" customFormat="false" ht="12.8" hidden="false" customHeight="false" outlineLevel="0" collapsed="false"/>
    <row r="1045360" customFormat="false" ht="12.8" hidden="false" customHeight="false" outlineLevel="0" collapsed="false"/>
    <row r="1045361" customFormat="false" ht="12.8" hidden="false" customHeight="false" outlineLevel="0" collapsed="false"/>
    <row r="1045362" customFormat="false" ht="12.8" hidden="false" customHeight="false" outlineLevel="0" collapsed="false"/>
    <row r="1045363" customFormat="false" ht="12.8" hidden="false" customHeight="false" outlineLevel="0" collapsed="false"/>
    <row r="1045364" customFormat="false" ht="12.8" hidden="false" customHeight="false" outlineLevel="0" collapsed="false"/>
    <row r="1045365" customFormat="false" ht="12.8" hidden="false" customHeight="false" outlineLevel="0" collapsed="false"/>
    <row r="1045366" customFormat="false" ht="12.8" hidden="false" customHeight="false" outlineLevel="0" collapsed="false"/>
    <row r="1045367" customFormat="false" ht="12.8" hidden="false" customHeight="false" outlineLevel="0" collapsed="false"/>
    <row r="1045368" customFormat="false" ht="12.8" hidden="false" customHeight="false" outlineLevel="0" collapsed="false"/>
    <row r="1045369" customFormat="false" ht="12.8" hidden="false" customHeight="false" outlineLevel="0" collapsed="false"/>
    <row r="1045370" customFormat="false" ht="12.8" hidden="false" customHeight="false" outlineLevel="0" collapsed="false"/>
    <row r="1045371" customFormat="false" ht="12.8" hidden="false" customHeight="false" outlineLevel="0" collapsed="false"/>
    <row r="1045372" customFormat="false" ht="12.8" hidden="false" customHeight="false" outlineLevel="0" collapsed="false"/>
    <row r="1045373" customFormat="false" ht="12.8" hidden="false" customHeight="false" outlineLevel="0" collapsed="false"/>
    <row r="1045374" customFormat="false" ht="12.8" hidden="false" customHeight="false" outlineLevel="0" collapsed="false"/>
    <row r="1045375" customFormat="false" ht="12.8" hidden="false" customHeight="false" outlineLevel="0" collapsed="false"/>
    <row r="1045376" customFormat="false" ht="12.8" hidden="false" customHeight="false" outlineLevel="0" collapsed="false"/>
    <row r="1045377" customFormat="false" ht="12.8" hidden="false" customHeight="false" outlineLevel="0" collapsed="false"/>
    <row r="1045378" customFormat="false" ht="12.8" hidden="false" customHeight="false" outlineLevel="0" collapsed="false"/>
    <row r="1045379" customFormat="false" ht="12.8" hidden="false" customHeight="false" outlineLevel="0" collapsed="false"/>
    <row r="1045380" customFormat="false" ht="12.8" hidden="false" customHeight="false" outlineLevel="0" collapsed="false"/>
    <row r="1045381" customFormat="false" ht="12.8" hidden="false" customHeight="false" outlineLevel="0" collapsed="false"/>
    <row r="1045382" customFormat="false" ht="12.8" hidden="false" customHeight="false" outlineLevel="0" collapsed="false"/>
    <row r="1045383" customFormat="false" ht="12.8" hidden="false" customHeight="false" outlineLevel="0" collapsed="false"/>
    <row r="1045384" customFormat="false" ht="12.8" hidden="false" customHeight="false" outlineLevel="0" collapsed="false"/>
    <row r="1045385" customFormat="false" ht="12.8" hidden="false" customHeight="false" outlineLevel="0" collapsed="false"/>
    <row r="1045386" customFormat="false" ht="12.8" hidden="false" customHeight="false" outlineLevel="0" collapsed="false"/>
    <row r="1045387" customFormat="false" ht="12.8" hidden="false" customHeight="false" outlineLevel="0" collapsed="false"/>
    <row r="1045388" customFormat="false" ht="12.8" hidden="false" customHeight="false" outlineLevel="0" collapsed="false"/>
    <row r="1045389" customFormat="false" ht="12.8" hidden="false" customHeight="false" outlineLevel="0" collapsed="false"/>
    <row r="1045390" customFormat="false" ht="12.8" hidden="false" customHeight="false" outlineLevel="0" collapsed="false"/>
    <row r="1045391" customFormat="false" ht="12.8" hidden="false" customHeight="false" outlineLevel="0" collapsed="false"/>
    <row r="1045392" customFormat="false" ht="12.8" hidden="false" customHeight="false" outlineLevel="0" collapsed="false"/>
    <row r="1045393" customFormat="false" ht="12.8" hidden="false" customHeight="false" outlineLevel="0" collapsed="false"/>
    <row r="1045394" customFormat="false" ht="12.8" hidden="false" customHeight="false" outlineLevel="0" collapsed="false"/>
    <row r="1045395" customFormat="false" ht="12.8" hidden="false" customHeight="false" outlineLevel="0" collapsed="false"/>
    <row r="1045396" customFormat="false" ht="12.8" hidden="false" customHeight="false" outlineLevel="0" collapsed="false"/>
    <row r="1045397" customFormat="false" ht="12.8" hidden="false" customHeight="false" outlineLevel="0" collapsed="false"/>
    <row r="1045398" customFormat="false" ht="12.8" hidden="false" customHeight="false" outlineLevel="0" collapsed="false"/>
    <row r="1045399" customFormat="false" ht="12.8" hidden="false" customHeight="false" outlineLevel="0" collapsed="false"/>
    <row r="1045400" customFormat="false" ht="12.8" hidden="false" customHeight="false" outlineLevel="0" collapsed="false"/>
    <row r="1045401" customFormat="false" ht="12.8" hidden="false" customHeight="false" outlineLevel="0" collapsed="false"/>
    <row r="1045402" customFormat="false" ht="12.8" hidden="false" customHeight="false" outlineLevel="0" collapsed="false"/>
    <row r="1045403" customFormat="false" ht="12.8" hidden="false" customHeight="false" outlineLevel="0" collapsed="false"/>
    <row r="1045404" customFormat="false" ht="12.8" hidden="false" customHeight="false" outlineLevel="0" collapsed="false"/>
    <row r="1045405" customFormat="false" ht="12.8" hidden="false" customHeight="false" outlineLevel="0" collapsed="false"/>
    <row r="1045406" customFormat="false" ht="12.8" hidden="false" customHeight="false" outlineLevel="0" collapsed="false"/>
    <row r="1045407" customFormat="false" ht="12.8" hidden="false" customHeight="false" outlineLevel="0" collapsed="false"/>
    <row r="1045408" customFormat="false" ht="12.8" hidden="false" customHeight="false" outlineLevel="0" collapsed="false"/>
    <row r="1045409" customFormat="false" ht="12.8" hidden="false" customHeight="false" outlineLevel="0" collapsed="false"/>
    <row r="1045410" customFormat="false" ht="12.8" hidden="false" customHeight="false" outlineLevel="0" collapsed="false"/>
    <row r="1045411" customFormat="false" ht="12.8" hidden="false" customHeight="false" outlineLevel="0" collapsed="false"/>
    <row r="1045412" customFormat="false" ht="12.8" hidden="false" customHeight="false" outlineLevel="0" collapsed="false"/>
    <row r="1045413" customFormat="false" ht="12.8" hidden="false" customHeight="false" outlineLevel="0" collapsed="false"/>
    <row r="1045414" customFormat="false" ht="12.8" hidden="false" customHeight="false" outlineLevel="0" collapsed="false"/>
    <row r="1045415" customFormat="false" ht="12.8" hidden="false" customHeight="false" outlineLevel="0" collapsed="false"/>
    <row r="1045416" customFormat="false" ht="12.8" hidden="false" customHeight="false" outlineLevel="0" collapsed="false"/>
    <row r="1045417" customFormat="false" ht="12.8" hidden="false" customHeight="false" outlineLevel="0" collapsed="false"/>
    <row r="1045418" customFormat="false" ht="12.8" hidden="false" customHeight="false" outlineLevel="0" collapsed="false"/>
    <row r="1045419" customFormat="false" ht="12.8" hidden="false" customHeight="false" outlineLevel="0" collapsed="false"/>
    <row r="1045420" customFormat="false" ht="12.8" hidden="false" customHeight="false" outlineLevel="0" collapsed="false"/>
    <row r="1045421" customFormat="false" ht="12.8" hidden="false" customHeight="false" outlineLevel="0" collapsed="false"/>
    <row r="1045422" customFormat="false" ht="12.8" hidden="false" customHeight="false" outlineLevel="0" collapsed="false"/>
    <row r="1045423" customFormat="false" ht="12.8" hidden="false" customHeight="false" outlineLevel="0" collapsed="false"/>
    <row r="1045424" customFormat="false" ht="12.8" hidden="false" customHeight="false" outlineLevel="0" collapsed="false"/>
    <row r="1045425" customFormat="false" ht="12.8" hidden="false" customHeight="false" outlineLevel="0" collapsed="false"/>
    <row r="1045426" customFormat="false" ht="12.8" hidden="false" customHeight="false" outlineLevel="0" collapsed="false"/>
    <row r="1045427" customFormat="false" ht="12.8" hidden="false" customHeight="false" outlineLevel="0" collapsed="false"/>
    <row r="1045428" customFormat="false" ht="12.8" hidden="false" customHeight="false" outlineLevel="0" collapsed="false"/>
    <row r="1045429" customFormat="false" ht="12.8" hidden="false" customHeight="false" outlineLevel="0" collapsed="false"/>
    <row r="1045430" customFormat="false" ht="12.8" hidden="false" customHeight="false" outlineLevel="0" collapsed="false"/>
    <row r="1045431" customFormat="false" ht="12.8" hidden="false" customHeight="false" outlineLevel="0" collapsed="false"/>
    <row r="1045432" customFormat="false" ht="12.8" hidden="false" customHeight="false" outlineLevel="0" collapsed="false"/>
    <row r="1045433" customFormat="false" ht="12.8" hidden="false" customHeight="false" outlineLevel="0" collapsed="false"/>
    <row r="1045434" customFormat="false" ht="12.8" hidden="false" customHeight="false" outlineLevel="0" collapsed="false"/>
    <row r="1045435" customFormat="false" ht="12.8" hidden="false" customHeight="false" outlineLevel="0" collapsed="false"/>
    <row r="1045436" customFormat="false" ht="12.8" hidden="false" customHeight="false" outlineLevel="0" collapsed="false"/>
    <row r="1045437" customFormat="false" ht="12.8" hidden="false" customHeight="false" outlineLevel="0" collapsed="false"/>
    <row r="1045438" customFormat="false" ht="12.8" hidden="false" customHeight="false" outlineLevel="0" collapsed="false"/>
    <row r="1045439" customFormat="false" ht="12.8" hidden="false" customHeight="false" outlineLevel="0" collapsed="false"/>
    <row r="1045440" customFormat="false" ht="12.8" hidden="false" customHeight="false" outlineLevel="0" collapsed="false"/>
    <row r="1045441" customFormat="false" ht="12.8" hidden="false" customHeight="false" outlineLevel="0" collapsed="false"/>
    <row r="1045442" customFormat="false" ht="12.8" hidden="false" customHeight="false" outlineLevel="0" collapsed="false"/>
    <row r="1045443" customFormat="false" ht="12.8" hidden="false" customHeight="false" outlineLevel="0" collapsed="false"/>
    <row r="1045444" customFormat="false" ht="12.8" hidden="false" customHeight="false" outlineLevel="0" collapsed="false"/>
    <row r="1045445" customFormat="false" ht="12.8" hidden="false" customHeight="false" outlineLevel="0" collapsed="false"/>
    <row r="1045446" customFormat="false" ht="12.8" hidden="false" customHeight="false" outlineLevel="0" collapsed="false"/>
    <row r="1045447" customFormat="false" ht="12.8" hidden="false" customHeight="false" outlineLevel="0" collapsed="false"/>
    <row r="1045448" customFormat="false" ht="12.8" hidden="false" customHeight="false" outlineLevel="0" collapsed="false"/>
    <row r="1045449" customFormat="false" ht="12.8" hidden="false" customHeight="false" outlineLevel="0" collapsed="false"/>
    <row r="1045450" customFormat="false" ht="12.8" hidden="false" customHeight="false" outlineLevel="0" collapsed="false"/>
    <row r="1045451" customFormat="false" ht="12.8" hidden="false" customHeight="false" outlineLevel="0" collapsed="false"/>
    <row r="1045452" customFormat="false" ht="12.8" hidden="false" customHeight="false" outlineLevel="0" collapsed="false"/>
    <row r="1045453" customFormat="false" ht="12.8" hidden="false" customHeight="false" outlineLevel="0" collapsed="false"/>
    <row r="1045454" customFormat="false" ht="12.8" hidden="false" customHeight="false" outlineLevel="0" collapsed="false"/>
    <row r="1045455" customFormat="false" ht="12.8" hidden="false" customHeight="false" outlineLevel="0" collapsed="false"/>
    <row r="1045456" customFormat="false" ht="12.8" hidden="false" customHeight="false" outlineLevel="0" collapsed="false"/>
    <row r="1045457" customFormat="false" ht="12.8" hidden="false" customHeight="false" outlineLevel="0" collapsed="false"/>
    <row r="1045458" customFormat="false" ht="12.8" hidden="false" customHeight="false" outlineLevel="0" collapsed="false"/>
    <row r="1045459" customFormat="false" ht="12.8" hidden="false" customHeight="false" outlineLevel="0" collapsed="false"/>
    <row r="1045460" customFormat="false" ht="12.8" hidden="false" customHeight="false" outlineLevel="0" collapsed="false"/>
    <row r="1045461" customFormat="false" ht="12.8" hidden="false" customHeight="false" outlineLevel="0" collapsed="false"/>
    <row r="1045462" customFormat="false" ht="12.8" hidden="false" customHeight="false" outlineLevel="0" collapsed="false"/>
    <row r="1045463" customFormat="false" ht="12.8" hidden="false" customHeight="false" outlineLevel="0" collapsed="false"/>
    <row r="1045464" customFormat="false" ht="12.8" hidden="false" customHeight="false" outlineLevel="0" collapsed="false"/>
    <row r="1045465" customFormat="false" ht="12.8" hidden="false" customHeight="false" outlineLevel="0" collapsed="false"/>
    <row r="1045466" customFormat="false" ht="12.8" hidden="false" customHeight="false" outlineLevel="0" collapsed="false"/>
    <row r="1045467" customFormat="false" ht="12.8" hidden="false" customHeight="false" outlineLevel="0" collapsed="false"/>
    <row r="1045468" customFormat="false" ht="12.8" hidden="false" customHeight="false" outlineLevel="0" collapsed="false"/>
    <row r="1045469" customFormat="false" ht="12.8" hidden="false" customHeight="false" outlineLevel="0" collapsed="false"/>
    <row r="1045470" customFormat="false" ht="12.8" hidden="false" customHeight="false" outlineLevel="0" collapsed="false"/>
    <row r="1045471" customFormat="false" ht="12.8" hidden="false" customHeight="false" outlineLevel="0" collapsed="false"/>
    <row r="1045472" customFormat="false" ht="12.8" hidden="false" customHeight="false" outlineLevel="0" collapsed="false"/>
    <row r="1045473" customFormat="false" ht="12.8" hidden="false" customHeight="false" outlineLevel="0" collapsed="false"/>
    <row r="1045474" customFormat="false" ht="12.8" hidden="false" customHeight="false" outlineLevel="0" collapsed="false"/>
    <row r="1045475" customFormat="false" ht="12.8" hidden="false" customHeight="false" outlineLevel="0" collapsed="false"/>
    <row r="1045476" customFormat="false" ht="12.8" hidden="false" customHeight="false" outlineLevel="0" collapsed="false"/>
    <row r="1045477" customFormat="false" ht="12.8" hidden="false" customHeight="false" outlineLevel="0" collapsed="false"/>
    <row r="1045478" customFormat="false" ht="12.8" hidden="false" customHeight="false" outlineLevel="0" collapsed="false"/>
    <row r="1045479" customFormat="false" ht="12.8" hidden="false" customHeight="false" outlineLevel="0" collapsed="false"/>
    <row r="1045480" customFormat="false" ht="12.8" hidden="false" customHeight="false" outlineLevel="0" collapsed="false"/>
    <row r="1045481" customFormat="false" ht="12.8" hidden="false" customHeight="false" outlineLevel="0" collapsed="false"/>
    <row r="1045482" customFormat="false" ht="12.8" hidden="false" customHeight="false" outlineLevel="0" collapsed="false"/>
    <row r="1045483" customFormat="false" ht="12.8" hidden="false" customHeight="false" outlineLevel="0" collapsed="false"/>
    <row r="1045484" customFormat="false" ht="12.8" hidden="false" customHeight="false" outlineLevel="0" collapsed="false"/>
    <row r="1045485" customFormat="false" ht="12.8" hidden="false" customHeight="false" outlineLevel="0" collapsed="false"/>
    <row r="1045486" customFormat="false" ht="12.8" hidden="false" customHeight="false" outlineLevel="0" collapsed="false"/>
    <row r="1045487" customFormat="false" ht="12.8" hidden="false" customHeight="false" outlineLevel="0" collapsed="false"/>
    <row r="1045488" customFormat="false" ht="12.8" hidden="false" customHeight="false" outlineLevel="0" collapsed="false"/>
    <row r="1045489" customFormat="false" ht="12.8" hidden="false" customHeight="false" outlineLevel="0" collapsed="false"/>
    <row r="1045490" customFormat="false" ht="12.8" hidden="false" customHeight="false" outlineLevel="0" collapsed="false"/>
    <row r="1045491" customFormat="false" ht="12.8" hidden="false" customHeight="false" outlineLevel="0" collapsed="false"/>
    <row r="1045492" customFormat="false" ht="12.8" hidden="false" customHeight="false" outlineLevel="0" collapsed="false"/>
    <row r="1045493" customFormat="false" ht="12.8" hidden="false" customHeight="false" outlineLevel="0" collapsed="false"/>
    <row r="1045494" customFormat="false" ht="12.8" hidden="false" customHeight="false" outlineLevel="0" collapsed="false"/>
    <row r="1045495" customFormat="false" ht="12.8" hidden="false" customHeight="false" outlineLevel="0" collapsed="false"/>
    <row r="1045496" customFormat="false" ht="12.8" hidden="false" customHeight="false" outlineLevel="0" collapsed="false"/>
    <row r="1045497" customFormat="false" ht="12.8" hidden="false" customHeight="false" outlineLevel="0" collapsed="false"/>
    <row r="1045498" customFormat="false" ht="12.8" hidden="false" customHeight="false" outlineLevel="0" collapsed="false"/>
    <row r="1045499" customFormat="false" ht="12.8" hidden="false" customHeight="false" outlineLevel="0" collapsed="false"/>
    <row r="1045500" customFormat="false" ht="12.8" hidden="false" customHeight="false" outlineLevel="0" collapsed="false"/>
    <row r="1045501" customFormat="false" ht="12.8" hidden="false" customHeight="false" outlineLevel="0" collapsed="false"/>
    <row r="1045502" customFormat="false" ht="12.8" hidden="false" customHeight="false" outlineLevel="0" collapsed="false"/>
    <row r="1045503" customFormat="false" ht="12.8" hidden="false" customHeight="false" outlineLevel="0" collapsed="false"/>
    <row r="1045504" customFormat="false" ht="12.8" hidden="false" customHeight="false" outlineLevel="0" collapsed="false"/>
    <row r="1045505" customFormat="false" ht="12.8" hidden="false" customHeight="false" outlineLevel="0" collapsed="false"/>
    <row r="1045506" customFormat="false" ht="12.8" hidden="false" customHeight="false" outlineLevel="0" collapsed="false"/>
    <row r="1045507" customFormat="false" ht="12.8" hidden="false" customHeight="false" outlineLevel="0" collapsed="false"/>
    <row r="1045508" customFormat="false" ht="12.8" hidden="false" customHeight="false" outlineLevel="0" collapsed="false"/>
    <row r="1045509" customFormat="false" ht="12.8" hidden="false" customHeight="false" outlineLevel="0" collapsed="false"/>
    <row r="1045510" customFormat="false" ht="12.8" hidden="false" customHeight="false" outlineLevel="0" collapsed="false"/>
    <row r="1045511" customFormat="false" ht="12.8" hidden="false" customHeight="false" outlineLevel="0" collapsed="false"/>
    <row r="1045512" customFormat="false" ht="12.8" hidden="false" customHeight="false" outlineLevel="0" collapsed="false"/>
    <row r="1045513" customFormat="false" ht="12.8" hidden="false" customHeight="false" outlineLevel="0" collapsed="false"/>
    <row r="1045514" customFormat="false" ht="12.8" hidden="false" customHeight="false" outlineLevel="0" collapsed="false"/>
    <row r="1045515" customFormat="false" ht="12.8" hidden="false" customHeight="false" outlineLevel="0" collapsed="false"/>
    <row r="1045516" customFormat="false" ht="12.8" hidden="false" customHeight="false" outlineLevel="0" collapsed="false"/>
    <row r="1045517" customFormat="false" ht="12.8" hidden="false" customHeight="false" outlineLevel="0" collapsed="false"/>
    <row r="1045518" customFormat="false" ht="12.8" hidden="false" customHeight="false" outlineLevel="0" collapsed="false"/>
    <row r="1045519" customFormat="false" ht="12.8" hidden="false" customHeight="false" outlineLevel="0" collapsed="false"/>
    <row r="1045520" customFormat="false" ht="12.8" hidden="false" customHeight="false" outlineLevel="0" collapsed="false"/>
    <row r="1045521" customFormat="false" ht="12.8" hidden="false" customHeight="false" outlineLevel="0" collapsed="false"/>
    <row r="1045522" customFormat="false" ht="12.8" hidden="false" customHeight="false" outlineLevel="0" collapsed="false"/>
    <row r="1045523" customFormat="false" ht="12.8" hidden="false" customHeight="false" outlineLevel="0" collapsed="false"/>
    <row r="1045524" customFormat="false" ht="12.8" hidden="false" customHeight="false" outlineLevel="0" collapsed="false"/>
    <row r="1045525" customFormat="false" ht="12.8" hidden="false" customHeight="false" outlineLevel="0" collapsed="false"/>
    <row r="1045526" customFormat="false" ht="12.8" hidden="false" customHeight="false" outlineLevel="0" collapsed="false"/>
    <row r="1045527" customFormat="false" ht="12.8" hidden="false" customHeight="false" outlineLevel="0" collapsed="false"/>
    <row r="1045528" customFormat="false" ht="12.8" hidden="false" customHeight="false" outlineLevel="0" collapsed="false"/>
    <row r="1045529" customFormat="false" ht="12.8" hidden="false" customHeight="false" outlineLevel="0" collapsed="false"/>
    <row r="1045530" customFormat="false" ht="12.8" hidden="false" customHeight="false" outlineLevel="0" collapsed="false"/>
    <row r="1045531" customFormat="false" ht="12.8" hidden="false" customHeight="false" outlineLevel="0" collapsed="false"/>
    <row r="1045532" customFormat="false" ht="12.8" hidden="false" customHeight="false" outlineLevel="0" collapsed="false"/>
    <row r="1045533" customFormat="false" ht="12.8" hidden="false" customHeight="false" outlineLevel="0" collapsed="false"/>
    <row r="1045534" customFormat="false" ht="12.8" hidden="false" customHeight="false" outlineLevel="0" collapsed="false"/>
    <row r="1045535" customFormat="false" ht="12.8" hidden="false" customHeight="false" outlineLevel="0" collapsed="false"/>
    <row r="1045536" customFormat="false" ht="12.8" hidden="false" customHeight="false" outlineLevel="0" collapsed="false"/>
    <row r="1045537" customFormat="false" ht="12.8" hidden="false" customHeight="false" outlineLevel="0" collapsed="false"/>
    <row r="1045538" customFormat="false" ht="12.8" hidden="false" customHeight="false" outlineLevel="0" collapsed="false"/>
    <row r="1045539" customFormat="false" ht="12.8" hidden="false" customHeight="false" outlineLevel="0" collapsed="false"/>
    <row r="1045540" customFormat="false" ht="12.8" hidden="false" customHeight="false" outlineLevel="0" collapsed="false"/>
    <row r="1045541" customFormat="false" ht="12.8" hidden="false" customHeight="false" outlineLevel="0" collapsed="false"/>
    <row r="1045542" customFormat="false" ht="12.8" hidden="false" customHeight="false" outlineLevel="0" collapsed="false"/>
    <row r="1045543" customFormat="false" ht="12.8" hidden="false" customHeight="false" outlineLevel="0" collapsed="false"/>
    <row r="1045544" customFormat="false" ht="12.8" hidden="false" customHeight="false" outlineLevel="0" collapsed="false"/>
    <row r="1045545" customFormat="false" ht="12.8" hidden="false" customHeight="false" outlineLevel="0" collapsed="false"/>
    <row r="1045546" customFormat="false" ht="12.8" hidden="false" customHeight="false" outlineLevel="0" collapsed="false"/>
    <row r="1045547" customFormat="false" ht="12.8" hidden="false" customHeight="false" outlineLevel="0" collapsed="false"/>
    <row r="1045548" customFormat="false" ht="12.8" hidden="false" customHeight="false" outlineLevel="0" collapsed="false"/>
    <row r="1045549" customFormat="false" ht="12.8" hidden="false" customHeight="false" outlineLevel="0" collapsed="false"/>
    <row r="1045550" customFormat="false" ht="12.8" hidden="false" customHeight="false" outlineLevel="0" collapsed="false"/>
    <row r="1045551" customFormat="false" ht="12.8" hidden="false" customHeight="false" outlineLevel="0" collapsed="false"/>
    <row r="1045552" customFormat="false" ht="12.8" hidden="false" customHeight="false" outlineLevel="0" collapsed="false"/>
    <row r="1045553" customFormat="false" ht="12.8" hidden="false" customHeight="false" outlineLevel="0" collapsed="false"/>
    <row r="1045554" customFormat="false" ht="12.8" hidden="false" customHeight="false" outlineLevel="0" collapsed="false"/>
    <row r="1045555" customFormat="false" ht="12.8" hidden="false" customHeight="false" outlineLevel="0" collapsed="false"/>
    <row r="1045556" customFormat="false" ht="12.8" hidden="false" customHeight="false" outlineLevel="0" collapsed="false"/>
    <row r="1045557" customFormat="false" ht="12.8" hidden="false" customHeight="false" outlineLevel="0" collapsed="false"/>
    <row r="1045558" customFormat="false" ht="12.8" hidden="false" customHeight="false" outlineLevel="0" collapsed="false"/>
    <row r="1045559" customFormat="false" ht="12.8" hidden="false" customHeight="false" outlineLevel="0" collapsed="false"/>
    <row r="1045560" customFormat="false" ht="12.8" hidden="false" customHeight="false" outlineLevel="0" collapsed="false"/>
    <row r="1045561" customFormat="false" ht="12.8" hidden="false" customHeight="false" outlineLevel="0" collapsed="false"/>
    <row r="1045562" customFormat="false" ht="12.8" hidden="false" customHeight="false" outlineLevel="0" collapsed="false"/>
    <row r="1045563" customFormat="false" ht="12.8" hidden="false" customHeight="false" outlineLevel="0" collapsed="false"/>
    <row r="1045564" customFormat="false" ht="12.8" hidden="false" customHeight="false" outlineLevel="0" collapsed="false"/>
    <row r="1045565" customFormat="false" ht="12.8" hidden="false" customHeight="false" outlineLevel="0" collapsed="false"/>
    <row r="1045566" customFormat="false" ht="12.8" hidden="false" customHeight="false" outlineLevel="0" collapsed="false"/>
    <row r="1045567" customFormat="false" ht="12.8" hidden="false" customHeight="false" outlineLevel="0" collapsed="false"/>
    <row r="1045568" customFormat="false" ht="12.8" hidden="false" customHeight="false" outlineLevel="0" collapsed="false"/>
    <row r="1045569" customFormat="false" ht="12.8" hidden="false" customHeight="false" outlineLevel="0" collapsed="false"/>
    <row r="1045570" customFormat="false" ht="12.8" hidden="false" customHeight="false" outlineLevel="0" collapsed="false"/>
    <row r="1045571" customFormat="false" ht="12.8" hidden="false" customHeight="false" outlineLevel="0" collapsed="false"/>
    <row r="1045572" customFormat="false" ht="12.8" hidden="false" customHeight="false" outlineLevel="0" collapsed="false"/>
    <row r="1045573" customFormat="false" ht="12.8" hidden="false" customHeight="false" outlineLevel="0" collapsed="false"/>
    <row r="1045574" customFormat="false" ht="12.8" hidden="false" customHeight="false" outlineLevel="0" collapsed="false"/>
    <row r="1045575" customFormat="false" ht="12.8" hidden="false" customHeight="false" outlineLevel="0" collapsed="false"/>
    <row r="1045576" customFormat="false" ht="12.8" hidden="false" customHeight="false" outlineLevel="0" collapsed="false"/>
    <row r="1045577" customFormat="false" ht="12.8" hidden="false" customHeight="false" outlineLevel="0" collapsed="false"/>
    <row r="1045578" customFormat="false" ht="12.8" hidden="false" customHeight="false" outlineLevel="0" collapsed="false"/>
    <row r="1045579" customFormat="false" ht="12.8" hidden="false" customHeight="false" outlineLevel="0" collapsed="false"/>
    <row r="1045580" customFormat="false" ht="12.8" hidden="false" customHeight="false" outlineLevel="0" collapsed="false"/>
    <row r="1045581" customFormat="false" ht="12.8" hidden="false" customHeight="false" outlineLevel="0" collapsed="false"/>
    <row r="1045582" customFormat="false" ht="12.8" hidden="false" customHeight="false" outlineLevel="0" collapsed="false"/>
    <row r="1045583" customFormat="false" ht="12.8" hidden="false" customHeight="false" outlineLevel="0" collapsed="false"/>
    <row r="1045584" customFormat="false" ht="12.8" hidden="false" customHeight="false" outlineLevel="0" collapsed="false"/>
    <row r="1045585" customFormat="false" ht="12.8" hidden="false" customHeight="false" outlineLevel="0" collapsed="false"/>
    <row r="1045586" customFormat="false" ht="12.8" hidden="false" customHeight="false" outlineLevel="0" collapsed="false"/>
    <row r="1045587" customFormat="false" ht="12.8" hidden="false" customHeight="false" outlineLevel="0" collapsed="false"/>
    <row r="1045588" customFormat="false" ht="12.8" hidden="false" customHeight="false" outlineLevel="0" collapsed="false"/>
    <row r="1045589" customFormat="false" ht="12.8" hidden="false" customHeight="false" outlineLevel="0" collapsed="false"/>
    <row r="1045590" customFormat="false" ht="12.8" hidden="false" customHeight="false" outlineLevel="0" collapsed="false"/>
    <row r="1045591" customFormat="false" ht="12.8" hidden="false" customHeight="false" outlineLevel="0" collapsed="false"/>
    <row r="1045592" customFormat="false" ht="12.8" hidden="false" customHeight="false" outlineLevel="0" collapsed="false"/>
    <row r="1045593" customFormat="false" ht="12.8" hidden="false" customHeight="false" outlineLevel="0" collapsed="false"/>
    <row r="1045594" customFormat="false" ht="12.8" hidden="false" customHeight="false" outlineLevel="0" collapsed="false"/>
    <row r="1045595" customFormat="false" ht="12.8" hidden="false" customHeight="false" outlineLevel="0" collapsed="false"/>
    <row r="1045596" customFormat="false" ht="12.8" hidden="false" customHeight="false" outlineLevel="0" collapsed="false"/>
    <row r="1045597" customFormat="false" ht="12.8" hidden="false" customHeight="false" outlineLevel="0" collapsed="false"/>
    <row r="1045598" customFormat="false" ht="12.8" hidden="false" customHeight="false" outlineLevel="0" collapsed="false"/>
    <row r="1045599" customFormat="false" ht="12.8" hidden="false" customHeight="false" outlineLevel="0" collapsed="false"/>
    <row r="1045600" customFormat="false" ht="12.8" hidden="false" customHeight="false" outlineLevel="0" collapsed="false"/>
    <row r="1045601" customFormat="false" ht="12.8" hidden="false" customHeight="false" outlineLevel="0" collapsed="false"/>
    <row r="1045602" customFormat="false" ht="12.8" hidden="false" customHeight="false" outlineLevel="0" collapsed="false"/>
    <row r="1045603" customFormat="false" ht="12.8" hidden="false" customHeight="false" outlineLevel="0" collapsed="false"/>
    <row r="1045604" customFormat="false" ht="12.8" hidden="false" customHeight="false" outlineLevel="0" collapsed="false"/>
    <row r="1045605" customFormat="false" ht="12.8" hidden="false" customHeight="false" outlineLevel="0" collapsed="false"/>
    <row r="1045606" customFormat="false" ht="12.8" hidden="false" customHeight="false" outlineLevel="0" collapsed="false"/>
    <row r="1045607" customFormat="false" ht="12.8" hidden="false" customHeight="false" outlineLevel="0" collapsed="false"/>
    <row r="1045608" customFormat="false" ht="12.8" hidden="false" customHeight="false" outlineLevel="0" collapsed="false"/>
    <row r="1045609" customFormat="false" ht="12.8" hidden="false" customHeight="false" outlineLevel="0" collapsed="false"/>
    <row r="1045610" customFormat="false" ht="12.8" hidden="false" customHeight="false" outlineLevel="0" collapsed="false"/>
    <row r="1045611" customFormat="false" ht="12.8" hidden="false" customHeight="false" outlineLevel="0" collapsed="false"/>
    <row r="1045612" customFormat="false" ht="12.8" hidden="false" customHeight="false" outlineLevel="0" collapsed="false"/>
    <row r="1045613" customFormat="false" ht="12.8" hidden="false" customHeight="false" outlineLevel="0" collapsed="false"/>
    <row r="1045614" customFormat="false" ht="12.8" hidden="false" customHeight="false" outlineLevel="0" collapsed="false"/>
    <row r="1045615" customFormat="false" ht="12.8" hidden="false" customHeight="false" outlineLevel="0" collapsed="false"/>
    <row r="1045616" customFormat="false" ht="12.8" hidden="false" customHeight="false" outlineLevel="0" collapsed="false"/>
    <row r="1045617" customFormat="false" ht="12.8" hidden="false" customHeight="false" outlineLevel="0" collapsed="false"/>
    <row r="1045618" customFormat="false" ht="12.8" hidden="false" customHeight="false" outlineLevel="0" collapsed="false"/>
    <row r="1045619" customFormat="false" ht="12.8" hidden="false" customHeight="false" outlineLevel="0" collapsed="false"/>
    <row r="1045620" customFormat="false" ht="12.8" hidden="false" customHeight="false" outlineLevel="0" collapsed="false"/>
    <row r="1045621" customFormat="false" ht="12.8" hidden="false" customHeight="false" outlineLevel="0" collapsed="false"/>
    <row r="1045622" customFormat="false" ht="12.8" hidden="false" customHeight="false" outlineLevel="0" collapsed="false"/>
    <row r="1045623" customFormat="false" ht="12.8" hidden="false" customHeight="false" outlineLevel="0" collapsed="false"/>
    <row r="1045624" customFormat="false" ht="12.8" hidden="false" customHeight="false" outlineLevel="0" collapsed="false"/>
    <row r="1045625" customFormat="false" ht="12.8" hidden="false" customHeight="false" outlineLevel="0" collapsed="false"/>
    <row r="1045626" customFormat="false" ht="12.8" hidden="false" customHeight="false" outlineLevel="0" collapsed="false"/>
    <row r="1045627" customFormat="false" ht="12.8" hidden="false" customHeight="false" outlineLevel="0" collapsed="false"/>
    <row r="1045628" customFormat="false" ht="12.8" hidden="false" customHeight="false" outlineLevel="0" collapsed="false"/>
    <row r="1045629" customFormat="false" ht="12.8" hidden="false" customHeight="false" outlineLevel="0" collapsed="false"/>
    <row r="1045630" customFormat="false" ht="12.8" hidden="false" customHeight="false" outlineLevel="0" collapsed="false"/>
    <row r="1045631" customFormat="false" ht="12.8" hidden="false" customHeight="false" outlineLevel="0" collapsed="false"/>
    <row r="1045632" customFormat="false" ht="12.8" hidden="false" customHeight="false" outlineLevel="0" collapsed="false"/>
    <row r="1045633" customFormat="false" ht="12.8" hidden="false" customHeight="false" outlineLevel="0" collapsed="false"/>
    <row r="1045634" customFormat="false" ht="12.8" hidden="false" customHeight="false" outlineLevel="0" collapsed="false"/>
    <row r="1045635" customFormat="false" ht="12.8" hidden="false" customHeight="false" outlineLevel="0" collapsed="false"/>
    <row r="1045636" customFormat="false" ht="12.8" hidden="false" customHeight="false" outlineLevel="0" collapsed="false"/>
    <row r="1045637" customFormat="false" ht="12.8" hidden="false" customHeight="false" outlineLevel="0" collapsed="false"/>
    <row r="1045638" customFormat="false" ht="12.8" hidden="false" customHeight="false" outlineLevel="0" collapsed="false"/>
    <row r="1045639" customFormat="false" ht="12.8" hidden="false" customHeight="false" outlineLevel="0" collapsed="false"/>
    <row r="1045640" customFormat="false" ht="12.8" hidden="false" customHeight="false" outlineLevel="0" collapsed="false"/>
    <row r="1045641" customFormat="false" ht="12.8" hidden="false" customHeight="false" outlineLevel="0" collapsed="false"/>
    <row r="1045642" customFormat="false" ht="12.8" hidden="false" customHeight="false" outlineLevel="0" collapsed="false"/>
    <row r="1045643" customFormat="false" ht="12.8" hidden="false" customHeight="false" outlineLevel="0" collapsed="false"/>
    <row r="1045644" customFormat="false" ht="12.8" hidden="false" customHeight="false" outlineLevel="0" collapsed="false"/>
    <row r="1045645" customFormat="false" ht="12.8" hidden="false" customHeight="false" outlineLevel="0" collapsed="false"/>
    <row r="1045646" customFormat="false" ht="12.8" hidden="false" customHeight="false" outlineLevel="0" collapsed="false"/>
    <row r="1045647" customFormat="false" ht="12.8" hidden="false" customHeight="false" outlineLevel="0" collapsed="false"/>
    <row r="1045648" customFormat="false" ht="12.8" hidden="false" customHeight="false" outlineLevel="0" collapsed="false"/>
    <row r="1045649" customFormat="false" ht="12.8" hidden="false" customHeight="false" outlineLevel="0" collapsed="false"/>
    <row r="1045650" customFormat="false" ht="12.8" hidden="false" customHeight="false" outlineLevel="0" collapsed="false"/>
    <row r="1045651" customFormat="false" ht="12.8" hidden="false" customHeight="false" outlineLevel="0" collapsed="false"/>
    <row r="1045652" customFormat="false" ht="12.8" hidden="false" customHeight="false" outlineLevel="0" collapsed="false"/>
    <row r="1045653" customFormat="false" ht="12.8" hidden="false" customHeight="false" outlineLevel="0" collapsed="false"/>
    <row r="1045654" customFormat="false" ht="12.8" hidden="false" customHeight="false" outlineLevel="0" collapsed="false"/>
    <row r="1045655" customFormat="false" ht="12.8" hidden="false" customHeight="false" outlineLevel="0" collapsed="false"/>
    <row r="1045656" customFormat="false" ht="12.8" hidden="false" customHeight="false" outlineLevel="0" collapsed="false"/>
    <row r="1045657" customFormat="false" ht="12.8" hidden="false" customHeight="false" outlineLevel="0" collapsed="false"/>
    <row r="1045658" customFormat="false" ht="12.8" hidden="false" customHeight="false" outlineLevel="0" collapsed="false"/>
    <row r="1045659" customFormat="false" ht="12.8" hidden="false" customHeight="false" outlineLevel="0" collapsed="false"/>
    <row r="1045660" customFormat="false" ht="12.8" hidden="false" customHeight="false" outlineLevel="0" collapsed="false"/>
    <row r="1045661" customFormat="false" ht="12.8" hidden="false" customHeight="false" outlineLevel="0" collapsed="false"/>
    <row r="1045662" customFormat="false" ht="12.8" hidden="false" customHeight="false" outlineLevel="0" collapsed="false"/>
    <row r="1045663" customFormat="false" ht="12.8" hidden="false" customHeight="false" outlineLevel="0" collapsed="false"/>
    <row r="1045664" customFormat="false" ht="12.8" hidden="false" customHeight="false" outlineLevel="0" collapsed="false"/>
    <row r="1045665" customFormat="false" ht="12.8" hidden="false" customHeight="false" outlineLevel="0" collapsed="false"/>
    <row r="1045666" customFormat="false" ht="12.8" hidden="false" customHeight="false" outlineLevel="0" collapsed="false"/>
    <row r="1045667" customFormat="false" ht="12.8" hidden="false" customHeight="false" outlineLevel="0" collapsed="false"/>
    <row r="1045668" customFormat="false" ht="12.8" hidden="false" customHeight="false" outlineLevel="0" collapsed="false"/>
    <row r="1045669" customFormat="false" ht="12.8" hidden="false" customHeight="false" outlineLevel="0" collapsed="false"/>
    <row r="1045670" customFormat="false" ht="12.8" hidden="false" customHeight="false" outlineLevel="0" collapsed="false"/>
    <row r="1045671" customFormat="false" ht="12.8" hidden="false" customHeight="false" outlineLevel="0" collapsed="false"/>
    <row r="1045672" customFormat="false" ht="12.8" hidden="false" customHeight="false" outlineLevel="0" collapsed="false"/>
    <row r="1045673" customFormat="false" ht="12.8" hidden="false" customHeight="false" outlineLevel="0" collapsed="false"/>
    <row r="1045674" customFormat="false" ht="12.8" hidden="false" customHeight="false" outlineLevel="0" collapsed="false"/>
    <row r="1045675" customFormat="false" ht="12.8" hidden="false" customHeight="false" outlineLevel="0" collapsed="false"/>
    <row r="1045676" customFormat="false" ht="12.8" hidden="false" customHeight="false" outlineLevel="0" collapsed="false"/>
    <row r="1045677" customFormat="false" ht="12.8" hidden="false" customHeight="false" outlineLevel="0" collapsed="false"/>
    <row r="1045678" customFormat="false" ht="12.8" hidden="false" customHeight="false" outlineLevel="0" collapsed="false"/>
    <row r="1045679" customFormat="false" ht="12.8" hidden="false" customHeight="false" outlineLevel="0" collapsed="false"/>
    <row r="1045680" customFormat="false" ht="12.8" hidden="false" customHeight="false" outlineLevel="0" collapsed="false"/>
    <row r="1045681" customFormat="false" ht="12.8" hidden="false" customHeight="false" outlineLevel="0" collapsed="false"/>
    <row r="1045682" customFormat="false" ht="12.8" hidden="false" customHeight="false" outlineLevel="0" collapsed="false"/>
    <row r="1045683" customFormat="false" ht="12.8" hidden="false" customHeight="false" outlineLevel="0" collapsed="false"/>
    <row r="1045684" customFormat="false" ht="12.8" hidden="false" customHeight="false" outlineLevel="0" collapsed="false"/>
    <row r="1045685" customFormat="false" ht="12.8" hidden="false" customHeight="false" outlineLevel="0" collapsed="false"/>
    <row r="1045686" customFormat="false" ht="12.8" hidden="false" customHeight="false" outlineLevel="0" collapsed="false"/>
    <row r="1045687" customFormat="false" ht="12.8" hidden="false" customHeight="false" outlineLevel="0" collapsed="false"/>
    <row r="1045688" customFormat="false" ht="12.8" hidden="false" customHeight="false" outlineLevel="0" collapsed="false"/>
    <row r="1045689" customFormat="false" ht="12.8" hidden="false" customHeight="false" outlineLevel="0" collapsed="false"/>
    <row r="1045690" customFormat="false" ht="12.8" hidden="false" customHeight="false" outlineLevel="0" collapsed="false"/>
    <row r="1045691" customFormat="false" ht="12.8" hidden="false" customHeight="false" outlineLevel="0" collapsed="false"/>
    <row r="1045692" customFormat="false" ht="12.8" hidden="false" customHeight="false" outlineLevel="0" collapsed="false"/>
    <row r="1045693" customFormat="false" ht="12.8" hidden="false" customHeight="false" outlineLevel="0" collapsed="false"/>
    <row r="1045694" customFormat="false" ht="12.8" hidden="false" customHeight="false" outlineLevel="0" collapsed="false"/>
    <row r="1045695" customFormat="false" ht="12.8" hidden="false" customHeight="false" outlineLevel="0" collapsed="false"/>
    <row r="1045696" customFormat="false" ht="12.8" hidden="false" customHeight="false" outlineLevel="0" collapsed="false"/>
    <row r="1045697" customFormat="false" ht="12.8" hidden="false" customHeight="false" outlineLevel="0" collapsed="false"/>
    <row r="1045698" customFormat="false" ht="12.8" hidden="false" customHeight="false" outlineLevel="0" collapsed="false"/>
    <row r="1045699" customFormat="false" ht="12.8" hidden="false" customHeight="false" outlineLevel="0" collapsed="false"/>
    <row r="1045700" customFormat="false" ht="12.8" hidden="false" customHeight="false" outlineLevel="0" collapsed="false"/>
    <row r="1045701" customFormat="false" ht="12.8" hidden="false" customHeight="false" outlineLevel="0" collapsed="false"/>
    <row r="1045702" customFormat="false" ht="12.8" hidden="false" customHeight="false" outlineLevel="0" collapsed="false"/>
    <row r="1045703" customFormat="false" ht="12.8" hidden="false" customHeight="false" outlineLevel="0" collapsed="false"/>
    <row r="1045704" customFormat="false" ht="12.8" hidden="false" customHeight="false" outlineLevel="0" collapsed="false"/>
    <row r="1045705" customFormat="false" ht="12.8" hidden="false" customHeight="false" outlineLevel="0" collapsed="false"/>
    <row r="1045706" customFormat="false" ht="12.8" hidden="false" customHeight="false" outlineLevel="0" collapsed="false"/>
    <row r="1045707" customFormat="false" ht="12.8" hidden="false" customHeight="false" outlineLevel="0" collapsed="false"/>
    <row r="1045708" customFormat="false" ht="12.8" hidden="false" customHeight="false" outlineLevel="0" collapsed="false"/>
    <row r="1045709" customFormat="false" ht="12.8" hidden="false" customHeight="false" outlineLevel="0" collapsed="false"/>
    <row r="1045710" customFormat="false" ht="12.8" hidden="false" customHeight="false" outlineLevel="0" collapsed="false"/>
    <row r="1045711" customFormat="false" ht="12.8" hidden="false" customHeight="false" outlineLevel="0" collapsed="false"/>
    <row r="1045712" customFormat="false" ht="12.8" hidden="false" customHeight="false" outlineLevel="0" collapsed="false"/>
    <row r="1045713" customFormat="false" ht="12.8" hidden="false" customHeight="false" outlineLevel="0" collapsed="false"/>
    <row r="1045714" customFormat="false" ht="12.8" hidden="false" customHeight="false" outlineLevel="0" collapsed="false"/>
    <row r="1045715" customFormat="false" ht="12.8" hidden="false" customHeight="false" outlineLevel="0" collapsed="false"/>
    <row r="1045716" customFormat="false" ht="12.8" hidden="false" customHeight="false" outlineLevel="0" collapsed="false"/>
    <row r="1045717" customFormat="false" ht="12.8" hidden="false" customHeight="false" outlineLevel="0" collapsed="false"/>
    <row r="1045718" customFormat="false" ht="12.8" hidden="false" customHeight="false" outlineLevel="0" collapsed="false"/>
    <row r="1045719" customFormat="false" ht="12.8" hidden="false" customHeight="false" outlineLevel="0" collapsed="false"/>
    <row r="1045720" customFormat="false" ht="12.8" hidden="false" customHeight="false" outlineLevel="0" collapsed="false"/>
    <row r="1045721" customFormat="false" ht="12.8" hidden="false" customHeight="false" outlineLevel="0" collapsed="false"/>
    <row r="1045722" customFormat="false" ht="12.8" hidden="false" customHeight="false" outlineLevel="0" collapsed="false"/>
    <row r="1045723" customFormat="false" ht="12.8" hidden="false" customHeight="false" outlineLevel="0" collapsed="false"/>
    <row r="1045724" customFormat="false" ht="12.8" hidden="false" customHeight="false" outlineLevel="0" collapsed="false"/>
    <row r="1045725" customFormat="false" ht="12.8" hidden="false" customHeight="false" outlineLevel="0" collapsed="false"/>
    <row r="1045726" customFormat="false" ht="12.8" hidden="false" customHeight="false" outlineLevel="0" collapsed="false"/>
    <row r="1045727" customFormat="false" ht="12.8" hidden="false" customHeight="false" outlineLevel="0" collapsed="false"/>
    <row r="1045728" customFormat="false" ht="12.8" hidden="false" customHeight="false" outlineLevel="0" collapsed="false"/>
    <row r="1045729" customFormat="false" ht="12.8" hidden="false" customHeight="false" outlineLevel="0" collapsed="false"/>
    <row r="1045730" customFormat="false" ht="12.8" hidden="false" customHeight="false" outlineLevel="0" collapsed="false"/>
    <row r="1045731" customFormat="false" ht="12.8" hidden="false" customHeight="false" outlineLevel="0" collapsed="false"/>
    <row r="1045732" customFormat="false" ht="12.8" hidden="false" customHeight="false" outlineLevel="0" collapsed="false"/>
    <row r="1045733" customFormat="false" ht="12.8" hidden="false" customHeight="false" outlineLevel="0" collapsed="false"/>
    <row r="1045734" customFormat="false" ht="12.8" hidden="false" customHeight="false" outlineLevel="0" collapsed="false"/>
    <row r="1045735" customFormat="false" ht="12.8" hidden="false" customHeight="false" outlineLevel="0" collapsed="false"/>
    <row r="1045736" customFormat="false" ht="12.8" hidden="false" customHeight="false" outlineLevel="0" collapsed="false"/>
    <row r="1045737" customFormat="false" ht="12.8" hidden="false" customHeight="false" outlineLevel="0" collapsed="false"/>
    <row r="1045738" customFormat="false" ht="12.8" hidden="false" customHeight="false" outlineLevel="0" collapsed="false"/>
    <row r="1045739" customFormat="false" ht="12.8" hidden="false" customHeight="false" outlineLevel="0" collapsed="false"/>
    <row r="1045740" customFormat="false" ht="12.8" hidden="false" customHeight="false" outlineLevel="0" collapsed="false"/>
    <row r="1045741" customFormat="false" ht="12.8" hidden="false" customHeight="false" outlineLevel="0" collapsed="false"/>
    <row r="1045742" customFormat="false" ht="12.8" hidden="false" customHeight="false" outlineLevel="0" collapsed="false"/>
    <row r="1045743" customFormat="false" ht="12.8" hidden="false" customHeight="false" outlineLevel="0" collapsed="false"/>
    <row r="1045744" customFormat="false" ht="12.8" hidden="false" customHeight="false" outlineLevel="0" collapsed="false"/>
    <row r="1045745" customFormat="false" ht="12.8" hidden="false" customHeight="false" outlineLevel="0" collapsed="false"/>
    <row r="1045746" customFormat="false" ht="12.8" hidden="false" customHeight="false" outlineLevel="0" collapsed="false"/>
    <row r="1045747" customFormat="false" ht="12.8" hidden="false" customHeight="false" outlineLevel="0" collapsed="false"/>
    <row r="1045748" customFormat="false" ht="12.8" hidden="false" customHeight="false" outlineLevel="0" collapsed="false"/>
    <row r="1045749" customFormat="false" ht="12.8" hidden="false" customHeight="false" outlineLevel="0" collapsed="false"/>
    <row r="1045750" customFormat="false" ht="12.8" hidden="false" customHeight="false" outlineLevel="0" collapsed="false"/>
    <row r="1045751" customFormat="false" ht="12.8" hidden="false" customHeight="false" outlineLevel="0" collapsed="false"/>
    <row r="1045752" customFormat="false" ht="12.8" hidden="false" customHeight="false" outlineLevel="0" collapsed="false"/>
    <row r="1045753" customFormat="false" ht="12.8" hidden="false" customHeight="false" outlineLevel="0" collapsed="false"/>
    <row r="1045754" customFormat="false" ht="12.8" hidden="false" customHeight="false" outlineLevel="0" collapsed="false"/>
    <row r="1045755" customFormat="false" ht="12.8" hidden="false" customHeight="false" outlineLevel="0" collapsed="false"/>
    <row r="1045756" customFormat="false" ht="12.8" hidden="false" customHeight="false" outlineLevel="0" collapsed="false"/>
    <row r="1045757" customFormat="false" ht="12.8" hidden="false" customHeight="false" outlineLevel="0" collapsed="false"/>
    <row r="1045758" customFormat="false" ht="12.8" hidden="false" customHeight="false" outlineLevel="0" collapsed="false"/>
    <row r="1045759" customFormat="false" ht="12.8" hidden="false" customHeight="false" outlineLevel="0" collapsed="false"/>
    <row r="1045760" customFormat="false" ht="12.8" hidden="false" customHeight="false" outlineLevel="0" collapsed="false"/>
    <row r="1045761" customFormat="false" ht="12.8" hidden="false" customHeight="false" outlineLevel="0" collapsed="false"/>
    <row r="1045762" customFormat="false" ht="12.8" hidden="false" customHeight="false" outlineLevel="0" collapsed="false"/>
    <row r="1045763" customFormat="false" ht="12.8" hidden="false" customHeight="false" outlineLevel="0" collapsed="false"/>
    <row r="1045764" customFormat="false" ht="12.8" hidden="false" customHeight="false" outlineLevel="0" collapsed="false"/>
    <row r="1045765" customFormat="false" ht="12.8" hidden="false" customHeight="false" outlineLevel="0" collapsed="false"/>
    <row r="1045766" customFormat="false" ht="12.8" hidden="false" customHeight="false" outlineLevel="0" collapsed="false"/>
    <row r="1045767" customFormat="false" ht="12.8" hidden="false" customHeight="false" outlineLevel="0" collapsed="false"/>
    <row r="1045768" customFormat="false" ht="12.8" hidden="false" customHeight="false" outlineLevel="0" collapsed="false"/>
    <row r="1045769" customFormat="false" ht="12.8" hidden="false" customHeight="false" outlineLevel="0" collapsed="false"/>
    <row r="1045770" customFormat="false" ht="12.8" hidden="false" customHeight="false" outlineLevel="0" collapsed="false"/>
    <row r="1045771" customFormat="false" ht="12.8" hidden="false" customHeight="false" outlineLevel="0" collapsed="false"/>
    <row r="1045772" customFormat="false" ht="12.8" hidden="false" customHeight="false" outlineLevel="0" collapsed="false"/>
    <row r="1045773" customFormat="false" ht="12.8" hidden="false" customHeight="false" outlineLevel="0" collapsed="false"/>
    <row r="1045774" customFormat="false" ht="12.8" hidden="false" customHeight="false" outlineLevel="0" collapsed="false"/>
    <row r="1045775" customFormat="false" ht="12.8" hidden="false" customHeight="false" outlineLevel="0" collapsed="false"/>
    <row r="1045776" customFormat="false" ht="12.8" hidden="false" customHeight="false" outlineLevel="0" collapsed="false"/>
    <row r="1045777" customFormat="false" ht="12.8" hidden="false" customHeight="false" outlineLevel="0" collapsed="false"/>
    <row r="1045778" customFormat="false" ht="12.8" hidden="false" customHeight="false" outlineLevel="0" collapsed="false"/>
    <row r="1045779" customFormat="false" ht="12.8" hidden="false" customHeight="false" outlineLevel="0" collapsed="false"/>
    <row r="1045780" customFormat="false" ht="12.8" hidden="false" customHeight="false" outlineLevel="0" collapsed="false"/>
    <row r="1045781" customFormat="false" ht="12.8" hidden="false" customHeight="false" outlineLevel="0" collapsed="false"/>
    <row r="1045782" customFormat="false" ht="12.8" hidden="false" customHeight="false" outlineLevel="0" collapsed="false"/>
    <row r="1045783" customFormat="false" ht="12.8" hidden="false" customHeight="false" outlineLevel="0" collapsed="false"/>
    <row r="1045784" customFormat="false" ht="12.8" hidden="false" customHeight="false" outlineLevel="0" collapsed="false"/>
    <row r="1045785" customFormat="false" ht="12.8" hidden="false" customHeight="false" outlineLevel="0" collapsed="false"/>
    <row r="1045786" customFormat="false" ht="12.8" hidden="false" customHeight="false" outlineLevel="0" collapsed="false"/>
    <row r="1045787" customFormat="false" ht="12.8" hidden="false" customHeight="false" outlineLevel="0" collapsed="false"/>
    <row r="1045788" customFormat="false" ht="12.8" hidden="false" customHeight="false" outlineLevel="0" collapsed="false"/>
    <row r="1045789" customFormat="false" ht="12.8" hidden="false" customHeight="false" outlineLevel="0" collapsed="false"/>
    <row r="1045790" customFormat="false" ht="12.8" hidden="false" customHeight="false" outlineLevel="0" collapsed="false"/>
    <row r="1045791" customFormat="false" ht="12.8" hidden="false" customHeight="false" outlineLevel="0" collapsed="false"/>
    <row r="1045792" customFormat="false" ht="12.8" hidden="false" customHeight="false" outlineLevel="0" collapsed="false"/>
    <row r="1045793" customFormat="false" ht="12.8" hidden="false" customHeight="false" outlineLevel="0" collapsed="false"/>
    <row r="1045794" customFormat="false" ht="12.8" hidden="false" customHeight="false" outlineLevel="0" collapsed="false"/>
    <row r="1045795" customFormat="false" ht="12.8" hidden="false" customHeight="false" outlineLevel="0" collapsed="false"/>
    <row r="1045796" customFormat="false" ht="12.8" hidden="false" customHeight="false" outlineLevel="0" collapsed="false"/>
    <row r="1045797" customFormat="false" ht="12.8" hidden="false" customHeight="false" outlineLevel="0" collapsed="false"/>
    <row r="1045798" customFormat="false" ht="12.8" hidden="false" customHeight="false" outlineLevel="0" collapsed="false"/>
    <row r="1045799" customFormat="false" ht="12.8" hidden="false" customHeight="false" outlineLevel="0" collapsed="false"/>
    <row r="1045800" customFormat="false" ht="12.8" hidden="false" customHeight="false" outlineLevel="0" collapsed="false"/>
    <row r="1045801" customFormat="false" ht="12.8" hidden="false" customHeight="false" outlineLevel="0" collapsed="false"/>
    <row r="1045802" customFormat="false" ht="12.8" hidden="false" customHeight="false" outlineLevel="0" collapsed="false"/>
    <row r="1045803" customFormat="false" ht="12.8" hidden="false" customHeight="false" outlineLevel="0" collapsed="false"/>
    <row r="1045804" customFormat="false" ht="12.8" hidden="false" customHeight="false" outlineLevel="0" collapsed="false"/>
    <row r="1045805" customFormat="false" ht="12.8" hidden="false" customHeight="false" outlineLevel="0" collapsed="false"/>
    <row r="1045806" customFormat="false" ht="12.8" hidden="false" customHeight="false" outlineLevel="0" collapsed="false"/>
    <row r="1045807" customFormat="false" ht="12.8" hidden="false" customHeight="false" outlineLevel="0" collapsed="false"/>
    <row r="1045808" customFormat="false" ht="12.8" hidden="false" customHeight="false" outlineLevel="0" collapsed="false"/>
    <row r="1045809" customFormat="false" ht="12.8" hidden="false" customHeight="false" outlineLevel="0" collapsed="false"/>
    <row r="1045810" customFormat="false" ht="12.8" hidden="false" customHeight="false" outlineLevel="0" collapsed="false"/>
    <row r="1045811" customFormat="false" ht="12.8" hidden="false" customHeight="false" outlineLevel="0" collapsed="false"/>
    <row r="1045812" customFormat="false" ht="12.8" hidden="false" customHeight="false" outlineLevel="0" collapsed="false"/>
    <row r="1045813" customFormat="false" ht="12.8" hidden="false" customHeight="false" outlineLevel="0" collapsed="false"/>
    <row r="1045814" customFormat="false" ht="12.8" hidden="false" customHeight="false" outlineLevel="0" collapsed="false"/>
    <row r="1045815" customFormat="false" ht="12.8" hidden="false" customHeight="false" outlineLevel="0" collapsed="false"/>
    <row r="1045816" customFormat="false" ht="12.8" hidden="false" customHeight="false" outlineLevel="0" collapsed="false"/>
    <row r="1045817" customFormat="false" ht="12.8" hidden="false" customHeight="false" outlineLevel="0" collapsed="false"/>
    <row r="1045818" customFormat="false" ht="12.8" hidden="false" customHeight="false" outlineLevel="0" collapsed="false"/>
    <row r="1045819" customFormat="false" ht="12.8" hidden="false" customHeight="false" outlineLevel="0" collapsed="false"/>
    <row r="1045820" customFormat="false" ht="12.8" hidden="false" customHeight="false" outlineLevel="0" collapsed="false"/>
    <row r="1045821" customFormat="false" ht="12.8" hidden="false" customHeight="false" outlineLevel="0" collapsed="false"/>
    <row r="1045822" customFormat="false" ht="12.8" hidden="false" customHeight="false" outlineLevel="0" collapsed="false"/>
    <row r="1045823" customFormat="false" ht="12.8" hidden="false" customHeight="false" outlineLevel="0" collapsed="false"/>
    <row r="1045824" customFormat="false" ht="12.8" hidden="false" customHeight="false" outlineLevel="0" collapsed="false"/>
    <row r="1045825" customFormat="false" ht="12.8" hidden="false" customHeight="false" outlineLevel="0" collapsed="false"/>
    <row r="1045826" customFormat="false" ht="12.8" hidden="false" customHeight="false" outlineLevel="0" collapsed="false"/>
    <row r="1045827" customFormat="false" ht="12.8" hidden="false" customHeight="false" outlineLevel="0" collapsed="false"/>
    <row r="1045828" customFormat="false" ht="12.8" hidden="false" customHeight="false" outlineLevel="0" collapsed="false"/>
    <row r="1045829" customFormat="false" ht="12.8" hidden="false" customHeight="false" outlineLevel="0" collapsed="false"/>
    <row r="1045830" customFormat="false" ht="12.8" hidden="false" customHeight="false" outlineLevel="0" collapsed="false"/>
    <row r="1045831" customFormat="false" ht="12.8" hidden="false" customHeight="false" outlineLevel="0" collapsed="false"/>
    <row r="1045832" customFormat="false" ht="12.8" hidden="false" customHeight="false" outlineLevel="0" collapsed="false"/>
    <row r="1045833" customFormat="false" ht="12.8" hidden="false" customHeight="false" outlineLevel="0" collapsed="false"/>
    <row r="1045834" customFormat="false" ht="12.8" hidden="false" customHeight="false" outlineLevel="0" collapsed="false"/>
    <row r="1045835" customFormat="false" ht="12.8" hidden="false" customHeight="false" outlineLevel="0" collapsed="false"/>
    <row r="1045836" customFormat="false" ht="12.8" hidden="false" customHeight="false" outlineLevel="0" collapsed="false"/>
    <row r="1045837" customFormat="false" ht="12.8" hidden="false" customHeight="false" outlineLevel="0" collapsed="false"/>
    <row r="1045838" customFormat="false" ht="12.8" hidden="false" customHeight="false" outlineLevel="0" collapsed="false"/>
    <row r="1045839" customFormat="false" ht="12.8" hidden="false" customHeight="false" outlineLevel="0" collapsed="false"/>
    <row r="1045840" customFormat="false" ht="12.8" hidden="false" customHeight="false" outlineLevel="0" collapsed="false"/>
    <row r="1045841" customFormat="false" ht="12.8" hidden="false" customHeight="false" outlineLevel="0" collapsed="false"/>
    <row r="1045842" customFormat="false" ht="12.8" hidden="false" customHeight="false" outlineLevel="0" collapsed="false"/>
    <row r="1045843" customFormat="false" ht="12.8" hidden="false" customHeight="false" outlineLevel="0" collapsed="false"/>
    <row r="1045844" customFormat="false" ht="12.8" hidden="false" customHeight="false" outlineLevel="0" collapsed="false"/>
    <row r="1045845" customFormat="false" ht="12.8" hidden="false" customHeight="false" outlineLevel="0" collapsed="false"/>
    <row r="1045846" customFormat="false" ht="12.8" hidden="false" customHeight="false" outlineLevel="0" collapsed="false"/>
    <row r="1045847" customFormat="false" ht="12.8" hidden="false" customHeight="false" outlineLevel="0" collapsed="false"/>
    <row r="1045848" customFormat="false" ht="12.8" hidden="false" customHeight="false" outlineLevel="0" collapsed="false"/>
    <row r="1045849" customFormat="false" ht="12.8" hidden="false" customHeight="false" outlineLevel="0" collapsed="false"/>
    <row r="1045850" customFormat="false" ht="12.8" hidden="false" customHeight="false" outlineLevel="0" collapsed="false"/>
    <row r="1045851" customFormat="false" ht="12.8" hidden="false" customHeight="false" outlineLevel="0" collapsed="false"/>
    <row r="1045852" customFormat="false" ht="12.8" hidden="false" customHeight="false" outlineLevel="0" collapsed="false"/>
    <row r="1045853" customFormat="false" ht="12.8" hidden="false" customHeight="false" outlineLevel="0" collapsed="false"/>
    <row r="1045854" customFormat="false" ht="12.8" hidden="false" customHeight="false" outlineLevel="0" collapsed="false"/>
    <row r="1045855" customFormat="false" ht="12.8" hidden="false" customHeight="false" outlineLevel="0" collapsed="false"/>
    <row r="1045856" customFormat="false" ht="12.8" hidden="false" customHeight="false" outlineLevel="0" collapsed="false"/>
    <row r="1045857" customFormat="false" ht="12.8" hidden="false" customHeight="false" outlineLevel="0" collapsed="false"/>
    <row r="1045858" customFormat="false" ht="12.8" hidden="false" customHeight="false" outlineLevel="0" collapsed="false"/>
    <row r="1045859" customFormat="false" ht="12.8" hidden="false" customHeight="false" outlineLevel="0" collapsed="false"/>
    <row r="1045860" customFormat="false" ht="12.8" hidden="false" customHeight="false" outlineLevel="0" collapsed="false"/>
    <row r="1045861" customFormat="false" ht="12.8" hidden="false" customHeight="false" outlineLevel="0" collapsed="false"/>
    <row r="1045862" customFormat="false" ht="12.8" hidden="false" customHeight="false" outlineLevel="0" collapsed="false"/>
    <row r="1045863" customFormat="false" ht="12.8" hidden="false" customHeight="false" outlineLevel="0" collapsed="false"/>
    <row r="1045864" customFormat="false" ht="12.8" hidden="false" customHeight="false" outlineLevel="0" collapsed="false"/>
    <row r="1045865" customFormat="false" ht="12.8" hidden="false" customHeight="false" outlineLevel="0" collapsed="false"/>
    <row r="1045866" customFormat="false" ht="12.8" hidden="false" customHeight="false" outlineLevel="0" collapsed="false"/>
    <row r="1045867" customFormat="false" ht="12.8" hidden="false" customHeight="false" outlineLevel="0" collapsed="false"/>
    <row r="1045868" customFormat="false" ht="12.8" hidden="false" customHeight="false" outlineLevel="0" collapsed="false"/>
    <row r="1045869" customFormat="false" ht="12.8" hidden="false" customHeight="false" outlineLevel="0" collapsed="false"/>
    <row r="1045870" customFormat="false" ht="12.8" hidden="false" customHeight="false" outlineLevel="0" collapsed="false"/>
    <row r="1045871" customFormat="false" ht="12.8" hidden="false" customHeight="false" outlineLevel="0" collapsed="false"/>
    <row r="1045872" customFormat="false" ht="12.8" hidden="false" customHeight="false" outlineLevel="0" collapsed="false"/>
    <row r="1045873" customFormat="false" ht="12.8" hidden="false" customHeight="false" outlineLevel="0" collapsed="false"/>
    <row r="1045874" customFormat="false" ht="12.8" hidden="false" customHeight="false" outlineLevel="0" collapsed="false"/>
    <row r="1045875" customFormat="false" ht="12.8" hidden="false" customHeight="false" outlineLevel="0" collapsed="false"/>
    <row r="1045876" customFormat="false" ht="12.8" hidden="false" customHeight="false" outlineLevel="0" collapsed="false"/>
    <row r="1045877" customFormat="false" ht="12.8" hidden="false" customHeight="false" outlineLevel="0" collapsed="false"/>
    <row r="1045878" customFormat="false" ht="12.8" hidden="false" customHeight="false" outlineLevel="0" collapsed="false"/>
    <row r="1045879" customFormat="false" ht="12.8" hidden="false" customHeight="false" outlineLevel="0" collapsed="false"/>
    <row r="1045880" customFormat="false" ht="12.8" hidden="false" customHeight="false" outlineLevel="0" collapsed="false"/>
    <row r="1045881" customFormat="false" ht="12.8" hidden="false" customHeight="false" outlineLevel="0" collapsed="false"/>
    <row r="1045882" customFormat="false" ht="12.8" hidden="false" customHeight="false" outlineLevel="0" collapsed="false"/>
    <row r="1045883" customFormat="false" ht="12.8" hidden="false" customHeight="false" outlineLevel="0" collapsed="false"/>
    <row r="1045884" customFormat="false" ht="12.8" hidden="false" customHeight="false" outlineLevel="0" collapsed="false"/>
    <row r="1045885" customFormat="false" ht="12.8" hidden="false" customHeight="false" outlineLevel="0" collapsed="false"/>
    <row r="1045886" customFormat="false" ht="12.8" hidden="false" customHeight="false" outlineLevel="0" collapsed="false"/>
    <row r="1045887" customFormat="false" ht="12.8" hidden="false" customHeight="false" outlineLevel="0" collapsed="false"/>
    <row r="1045888" customFormat="false" ht="12.8" hidden="false" customHeight="false" outlineLevel="0" collapsed="false"/>
    <row r="1045889" customFormat="false" ht="12.8" hidden="false" customHeight="false" outlineLevel="0" collapsed="false"/>
    <row r="1045890" customFormat="false" ht="12.8" hidden="false" customHeight="false" outlineLevel="0" collapsed="false"/>
    <row r="1045891" customFormat="false" ht="12.8" hidden="false" customHeight="false" outlineLevel="0" collapsed="false"/>
    <row r="1045892" customFormat="false" ht="12.8" hidden="false" customHeight="false" outlineLevel="0" collapsed="false"/>
    <row r="1045893" customFormat="false" ht="12.8" hidden="false" customHeight="false" outlineLevel="0" collapsed="false"/>
    <row r="1045894" customFormat="false" ht="12.8" hidden="false" customHeight="false" outlineLevel="0" collapsed="false"/>
    <row r="1045895" customFormat="false" ht="12.8" hidden="false" customHeight="false" outlineLevel="0" collapsed="false"/>
    <row r="1045896" customFormat="false" ht="12.8" hidden="false" customHeight="false" outlineLevel="0" collapsed="false"/>
    <row r="1045897" customFormat="false" ht="12.8" hidden="false" customHeight="false" outlineLevel="0" collapsed="false"/>
    <row r="1045898" customFormat="false" ht="12.8" hidden="false" customHeight="false" outlineLevel="0" collapsed="false"/>
    <row r="1045899" customFormat="false" ht="12.8" hidden="false" customHeight="false" outlineLevel="0" collapsed="false"/>
    <row r="1045900" customFormat="false" ht="12.8" hidden="false" customHeight="false" outlineLevel="0" collapsed="false"/>
    <row r="1045901" customFormat="false" ht="12.8" hidden="false" customHeight="false" outlineLevel="0" collapsed="false"/>
    <row r="1045902" customFormat="false" ht="12.8" hidden="false" customHeight="false" outlineLevel="0" collapsed="false"/>
    <row r="1045903" customFormat="false" ht="12.8" hidden="false" customHeight="false" outlineLevel="0" collapsed="false"/>
    <row r="1045904" customFormat="false" ht="12.8" hidden="false" customHeight="false" outlineLevel="0" collapsed="false"/>
    <row r="1045905" customFormat="false" ht="12.8" hidden="false" customHeight="false" outlineLevel="0" collapsed="false"/>
    <row r="1045906" customFormat="false" ht="12.8" hidden="false" customHeight="false" outlineLevel="0" collapsed="false"/>
    <row r="1045907" customFormat="false" ht="12.8" hidden="false" customHeight="false" outlineLevel="0" collapsed="false"/>
    <row r="1045908" customFormat="false" ht="12.8" hidden="false" customHeight="false" outlineLevel="0" collapsed="false"/>
    <row r="1045909" customFormat="false" ht="12.8" hidden="false" customHeight="false" outlineLevel="0" collapsed="false"/>
    <row r="1045910" customFormat="false" ht="12.8" hidden="false" customHeight="false" outlineLevel="0" collapsed="false"/>
    <row r="1045911" customFormat="false" ht="12.8" hidden="false" customHeight="false" outlineLevel="0" collapsed="false"/>
    <row r="1045912" customFormat="false" ht="12.8" hidden="false" customHeight="false" outlineLevel="0" collapsed="false"/>
    <row r="1045913" customFormat="false" ht="12.8" hidden="false" customHeight="false" outlineLevel="0" collapsed="false"/>
    <row r="1045914" customFormat="false" ht="12.8" hidden="false" customHeight="false" outlineLevel="0" collapsed="false"/>
    <row r="1045915" customFormat="false" ht="12.8" hidden="false" customHeight="false" outlineLevel="0" collapsed="false"/>
    <row r="1045916" customFormat="false" ht="12.8" hidden="false" customHeight="false" outlineLevel="0" collapsed="false"/>
    <row r="1045917" customFormat="false" ht="12.8" hidden="false" customHeight="false" outlineLevel="0" collapsed="false"/>
    <row r="1045918" customFormat="false" ht="12.8" hidden="false" customHeight="false" outlineLevel="0" collapsed="false"/>
    <row r="1045919" customFormat="false" ht="12.8" hidden="false" customHeight="false" outlineLevel="0" collapsed="false"/>
    <row r="1045920" customFormat="false" ht="12.8" hidden="false" customHeight="false" outlineLevel="0" collapsed="false"/>
    <row r="1045921" customFormat="false" ht="12.8" hidden="false" customHeight="false" outlineLevel="0" collapsed="false"/>
    <row r="1045922" customFormat="false" ht="12.8" hidden="false" customHeight="false" outlineLevel="0" collapsed="false"/>
    <row r="1045923" customFormat="false" ht="12.8" hidden="false" customHeight="false" outlineLevel="0" collapsed="false"/>
    <row r="1045924" customFormat="false" ht="12.8" hidden="false" customHeight="false" outlineLevel="0" collapsed="false"/>
    <row r="1045925" customFormat="false" ht="12.8" hidden="false" customHeight="false" outlineLevel="0" collapsed="false"/>
    <row r="1045926" customFormat="false" ht="12.8" hidden="false" customHeight="false" outlineLevel="0" collapsed="false"/>
    <row r="1045927" customFormat="false" ht="12.8" hidden="false" customHeight="false" outlineLevel="0" collapsed="false"/>
    <row r="1045928" customFormat="false" ht="12.8" hidden="false" customHeight="false" outlineLevel="0" collapsed="false"/>
    <row r="1045929" customFormat="false" ht="12.8" hidden="false" customHeight="false" outlineLevel="0" collapsed="false"/>
    <row r="1045930" customFormat="false" ht="12.8" hidden="false" customHeight="false" outlineLevel="0" collapsed="false"/>
    <row r="1045931" customFormat="false" ht="12.8" hidden="false" customHeight="false" outlineLevel="0" collapsed="false"/>
    <row r="1045932" customFormat="false" ht="12.8" hidden="false" customHeight="false" outlineLevel="0" collapsed="false"/>
    <row r="1045933" customFormat="false" ht="12.8" hidden="false" customHeight="false" outlineLevel="0" collapsed="false"/>
    <row r="1045934" customFormat="false" ht="12.8" hidden="false" customHeight="false" outlineLevel="0" collapsed="false"/>
    <row r="1045935" customFormat="false" ht="12.8" hidden="false" customHeight="false" outlineLevel="0" collapsed="false"/>
    <row r="1045936" customFormat="false" ht="12.8" hidden="false" customHeight="false" outlineLevel="0" collapsed="false"/>
    <row r="1045937" customFormat="false" ht="12.8" hidden="false" customHeight="false" outlineLevel="0" collapsed="false"/>
    <row r="1045938" customFormat="false" ht="12.8" hidden="false" customHeight="false" outlineLevel="0" collapsed="false"/>
    <row r="1045939" customFormat="false" ht="12.8" hidden="false" customHeight="false" outlineLevel="0" collapsed="false"/>
    <row r="1045940" customFormat="false" ht="12.8" hidden="false" customHeight="false" outlineLevel="0" collapsed="false"/>
    <row r="1045941" customFormat="false" ht="12.8" hidden="false" customHeight="false" outlineLevel="0" collapsed="false"/>
    <row r="1045942" customFormat="false" ht="12.8" hidden="false" customHeight="false" outlineLevel="0" collapsed="false"/>
    <row r="1045943" customFormat="false" ht="12.8" hidden="false" customHeight="false" outlineLevel="0" collapsed="false"/>
    <row r="1045944" customFormat="false" ht="12.8" hidden="false" customHeight="false" outlineLevel="0" collapsed="false"/>
    <row r="1045945" customFormat="false" ht="12.8" hidden="false" customHeight="false" outlineLevel="0" collapsed="false"/>
    <row r="1045946" customFormat="false" ht="12.8" hidden="false" customHeight="false" outlineLevel="0" collapsed="false"/>
    <row r="1045947" customFormat="false" ht="12.8" hidden="false" customHeight="false" outlineLevel="0" collapsed="false"/>
    <row r="1045948" customFormat="false" ht="12.8" hidden="false" customHeight="false" outlineLevel="0" collapsed="false"/>
    <row r="1045949" customFormat="false" ht="12.8" hidden="false" customHeight="false" outlineLevel="0" collapsed="false"/>
    <row r="1045950" customFormat="false" ht="12.8" hidden="false" customHeight="false" outlineLevel="0" collapsed="false"/>
    <row r="1045951" customFormat="false" ht="12.8" hidden="false" customHeight="false" outlineLevel="0" collapsed="false"/>
    <row r="1045952" customFormat="false" ht="12.8" hidden="false" customHeight="false" outlineLevel="0" collapsed="false"/>
    <row r="1045953" customFormat="false" ht="12.8" hidden="false" customHeight="false" outlineLevel="0" collapsed="false"/>
    <row r="1045954" customFormat="false" ht="12.8" hidden="false" customHeight="false" outlineLevel="0" collapsed="false"/>
    <row r="1045955" customFormat="false" ht="12.8" hidden="false" customHeight="false" outlineLevel="0" collapsed="false"/>
    <row r="1045956" customFormat="false" ht="12.8" hidden="false" customHeight="false" outlineLevel="0" collapsed="false"/>
    <row r="1045957" customFormat="false" ht="12.8" hidden="false" customHeight="false" outlineLevel="0" collapsed="false"/>
    <row r="1045958" customFormat="false" ht="12.8" hidden="false" customHeight="false" outlineLevel="0" collapsed="false"/>
    <row r="1045959" customFormat="false" ht="12.8" hidden="false" customHeight="false" outlineLevel="0" collapsed="false"/>
    <row r="1045960" customFormat="false" ht="12.8" hidden="false" customHeight="false" outlineLevel="0" collapsed="false"/>
    <row r="1045961" customFormat="false" ht="12.8" hidden="false" customHeight="false" outlineLevel="0" collapsed="false"/>
    <row r="1045962" customFormat="false" ht="12.8" hidden="false" customHeight="false" outlineLevel="0" collapsed="false"/>
    <row r="1045963" customFormat="false" ht="12.8" hidden="false" customHeight="false" outlineLevel="0" collapsed="false"/>
    <row r="1045964" customFormat="false" ht="12.8" hidden="false" customHeight="false" outlineLevel="0" collapsed="false"/>
    <row r="1045965" customFormat="false" ht="12.8" hidden="false" customHeight="false" outlineLevel="0" collapsed="false"/>
    <row r="1045966" customFormat="false" ht="12.8" hidden="false" customHeight="false" outlineLevel="0" collapsed="false"/>
    <row r="1045967" customFormat="false" ht="12.8" hidden="false" customHeight="false" outlineLevel="0" collapsed="false"/>
    <row r="1045968" customFormat="false" ht="12.8" hidden="false" customHeight="false" outlineLevel="0" collapsed="false"/>
    <row r="1045969" customFormat="false" ht="12.8" hidden="false" customHeight="false" outlineLevel="0" collapsed="false"/>
    <row r="1045970" customFormat="false" ht="12.8" hidden="false" customHeight="false" outlineLevel="0" collapsed="false"/>
    <row r="1045971" customFormat="false" ht="12.8" hidden="false" customHeight="false" outlineLevel="0" collapsed="false"/>
    <row r="1045972" customFormat="false" ht="12.8" hidden="false" customHeight="false" outlineLevel="0" collapsed="false"/>
    <row r="1045973" customFormat="false" ht="12.8" hidden="false" customHeight="false" outlineLevel="0" collapsed="false"/>
    <row r="1045974" customFormat="false" ht="12.8" hidden="false" customHeight="false" outlineLevel="0" collapsed="false"/>
    <row r="1045975" customFormat="false" ht="12.8" hidden="false" customHeight="false" outlineLevel="0" collapsed="false"/>
    <row r="1045976" customFormat="false" ht="12.8" hidden="false" customHeight="false" outlineLevel="0" collapsed="false"/>
    <row r="1045977" customFormat="false" ht="12.8" hidden="false" customHeight="false" outlineLevel="0" collapsed="false"/>
    <row r="1045978" customFormat="false" ht="12.8" hidden="false" customHeight="false" outlineLevel="0" collapsed="false"/>
    <row r="1045979" customFormat="false" ht="12.8" hidden="false" customHeight="false" outlineLevel="0" collapsed="false"/>
    <row r="1045980" customFormat="false" ht="12.8" hidden="false" customHeight="false" outlineLevel="0" collapsed="false"/>
    <row r="1045981" customFormat="false" ht="12.8" hidden="false" customHeight="false" outlineLevel="0" collapsed="false"/>
    <row r="1045982" customFormat="false" ht="12.8" hidden="false" customHeight="false" outlineLevel="0" collapsed="false"/>
    <row r="1045983" customFormat="false" ht="12.8" hidden="false" customHeight="false" outlineLevel="0" collapsed="false"/>
    <row r="1045984" customFormat="false" ht="12.8" hidden="false" customHeight="false" outlineLevel="0" collapsed="false"/>
    <row r="1045985" customFormat="false" ht="12.8" hidden="false" customHeight="false" outlineLevel="0" collapsed="false"/>
    <row r="1045986" customFormat="false" ht="12.8" hidden="false" customHeight="false" outlineLevel="0" collapsed="false"/>
    <row r="1045987" customFormat="false" ht="12.8" hidden="false" customHeight="false" outlineLevel="0" collapsed="false"/>
    <row r="1045988" customFormat="false" ht="12.8" hidden="false" customHeight="false" outlineLevel="0" collapsed="false"/>
    <row r="1045989" customFormat="false" ht="12.8" hidden="false" customHeight="false" outlineLevel="0" collapsed="false"/>
    <row r="1045990" customFormat="false" ht="12.8" hidden="false" customHeight="false" outlineLevel="0" collapsed="false"/>
    <row r="1045991" customFormat="false" ht="12.8" hidden="false" customHeight="false" outlineLevel="0" collapsed="false"/>
    <row r="1045992" customFormat="false" ht="12.8" hidden="false" customHeight="false" outlineLevel="0" collapsed="false"/>
    <row r="1045993" customFormat="false" ht="12.8" hidden="false" customHeight="false" outlineLevel="0" collapsed="false"/>
    <row r="1045994" customFormat="false" ht="12.8" hidden="false" customHeight="false" outlineLevel="0" collapsed="false"/>
    <row r="1045995" customFormat="false" ht="12.8" hidden="false" customHeight="false" outlineLevel="0" collapsed="false"/>
    <row r="1045996" customFormat="false" ht="12.8" hidden="false" customHeight="false" outlineLevel="0" collapsed="false"/>
    <row r="1045997" customFormat="false" ht="12.8" hidden="false" customHeight="false" outlineLevel="0" collapsed="false"/>
    <row r="1045998" customFormat="false" ht="12.8" hidden="false" customHeight="false" outlineLevel="0" collapsed="false"/>
    <row r="1045999" customFormat="false" ht="12.8" hidden="false" customHeight="false" outlineLevel="0" collapsed="false"/>
    <row r="1046000" customFormat="false" ht="12.8" hidden="false" customHeight="false" outlineLevel="0" collapsed="false"/>
    <row r="1046001" customFormat="false" ht="12.8" hidden="false" customHeight="false" outlineLevel="0" collapsed="false"/>
    <row r="1046002" customFormat="false" ht="12.8" hidden="false" customHeight="false" outlineLevel="0" collapsed="false"/>
    <row r="1046003" customFormat="false" ht="12.8" hidden="false" customHeight="false" outlineLevel="0" collapsed="false"/>
    <row r="1046004" customFormat="false" ht="12.8" hidden="false" customHeight="false" outlineLevel="0" collapsed="false"/>
    <row r="1046005" customFormat="false" ht="12.8" hidden="false" customHeight="false" outlineLevel="0" collapsed="false"/>
    <row r="1046006" customFormat="false" ht="12.8" hidden="false" customHeight="false" outlineLevel="0" collapsed="false"/>
    <row r="1046007" customFormat="false" ht="12.8" hidden="false" customHeight="false" outlineLevel="0" collapsed="false"/>
    <row r="1046008" customFormat="false" ht="12.8" hidden="false" customHeight="false" outlineLevel="0" collapsed="false"/>
    <row r="1046009" customFormat="false" ht="12.8" hidden="false" customHeight="false" outlineLevel="0" collapsed="false"/>
    <row r="1046010" customFormat="false" ht="12.8" hidden="false" customHeight="false" outlineLevel="0" collapsed="false"/>
    <row r="1046011" customFormat="false" ht="12.8" hidden="false" customHeight="false" outlineLevel="0" collapsed="false"/>
    <row r="1046012" customFormat="false" ht="12.8" hidden="false" customHeight="false" outlineLevel="0" collapsed="false"/>
    <row r="1046013" customFormat="false" ht="12.8" hidden="false" customHeight="false" outlineLevel="0" collapsed="false"/>
    <row r="1046014" customFormat="false" ht="12.8" hidden="false" customHeight="false" outlineLevel="0" collapsed="false"/>
    <row r="1046015" customFormat="false" ht="12.8" hidden="false" customHeight="false" outlineLevel="0" collapsed="false"/>
    <row r="1046016" customFormat="false" ht="12.8" hidden="false" customHeight="false" outlineLevel="0" collapsed="false"/>
    <row r="1046017" customFormat="false" ht="12.8" hidden="false" customHeight="false" outlineLevel="0" collapsed="false"/>
    <row r="1046018" customFormat="false" ht="12.8" hidden="false" customHeight="false" outlineLevel="0" collapsed="false"/>
    <row r="1046019" customFormat="false" ht="12.8" hidden="false" customHeight="false" outlineLevel="0" collapsed="false"/>
    <row r="1046020" customFormat="false" ht="12.8" hidden="false" customHeight="false" outlineLevel="0" collapsed="false"/>
    <row r="1046021" customFormat="false" ht="12.8" hidden="false" customHeight="false" outlineLevel="0" collapsed="false"/>
    <row r="1046022" customFormat="false" ht="12.8" hidden="false" customHeight="false" outlineLevel="0" collapsed="false"/>
    <row r="1046023" customFormat="false" ht="12.8" hidden="false" customHeight="false" outlineLevel="0" collapsed="false"/>
    <row r="1046024" customFormat="false" ht="12.8" hidden="false" customHeight="false" outlineLevel="0" collapsed="false"/>
    <row r="1046025" customFormat="false" ht="12.8" hidden="false" customHeight="false" outlineLevel="0" collapsed="false"/>
    <row r="1046026" customFormat="false" ht="12.8" hidden="false" customHeight="false" outlineLevel="0" collapsed="false"/>
    <row r="1046027" customFormat="false" ht="12.8" hidden="false" customHeight="false" outlineLevel="0" collapsed="false"/>
    <row r="1046028" customFormat="false" ht="12.8" hidden="false" customHeight="false" outlineLevel="0" collapsed="false"/>
    <row r="1046029" customFormat="false" ht="12.8" hidden="false" customHeight="false" outlineLevel="0" collapsed="false"/>
    <row r="1046030" customFormat="false" ht="12.8" hidden="false" customHeight="false" outlineLevel="0" collapsed="false"/>
    <row r="1046031" customFormat="false" ht="12.8" hidden="false" customHeight="false" outlineLevel="0" collapsed="false"/>
    <row r="1046032" customFormat="false" ht="12.8" hidden="false" customHeight="false" outlineLevel="0" collapsed="false"/>
    <row r="1046033" customFormat="false" ht="12.8" hidden="false" customHeight="false" outlineLevel="0" collapsed="false"/>
    <row r="1046034" customFormat="false" ht="12.8" hidden="false" customHeight="false" outlineLevel="0" collapsed="false"/>
    <row r="1046035" customFormat="false" ht="12.8" hidden="false" customHeight="false" outlineLevel="0" collapsed="false"/>
    <row r="1046036" customFormat="false" ht="12.8" hidden="false" customHeight="false" outlineLevel="0" collapsed="false"/>
    <row r="1046037" customFormat="false" ht="12.8" hidden="false" customHeight="false" outlineLevel="0" collapsed="false"/>
    <row r="1046038" customFormat="false" ht="12.8" hidden="false" customHeight="false" outlineLevel="0" collapsed="false"/>
    <row r="1046039" customFormat="false" ht="12.8" hidden="false" customHeight="false" outlineLevel="0" collapsed="false"/>
    <row r="1046040" customFormat="false" ht="12.8" hidden="false" customHeight="false" outlineLevel="0" collapsed="false"/>
    <row r="1046041" customFormat="false" ht="12.8" hidden="false" customHeight="false" outlineLevel="0" collapsed="false"/>
    <row r="1046042" customFormat="false" ht="12.8" hidden="false" customHeight="false" outlineLevel="0" collapsed="false"/>
    <row r="1046043" customFormat="false" ht="12.8" hidden="false" customHeight="false" outlineLevel="0" collapsed="false"/>
    <row r="1046044" customFormat="false" ht="12.8" hidden="false" customHeight="false" outlineLevel="0" collapsed="false"/>
    <row r="1046045" customFormat="false" ht="12.8" hidden="false" customHeight="false" outlineLevel="0" collapsed="false"/>
    <row r="1046046" customFormat="false" ht="12.8" hidden="false" customHeight="false" outlineLevel="0" collapsed="false"/>
    <row r="1046047" customFormat="false" ht="12.8" hidden="false" customHeight="false" outlineLevel="0" collapsed="false"/>
    <row r="1046048" customFormat="false" ht="12.8" hidden="false" customHeight="false" outlineLevel="0" collapsed="false"/>
    <row r="1046049" customFormat="false" ht="12.8" hidden="false" customHeight="false" outlineLevel="0" collapsed="false"/>
    <row r="1046050" customFormat="false" ht="12.8" hidden="false" customHeight="false" outlineLevel="0" collapsed="false"/>
    <row r="1046051" customFormat="false" ht="12.8" hidden="false" customHeight="false" outlineLevel="0" collapsed="false"/>
    <row r="1046052" customFormat="false" ht="12.8" hidden="false" customHeight="false" outlineLevel="0" collapsed="false"/>
    <row r="1046053" customFormat="false" ht="12.8" hidden="false" customHeight="false" outlineLevel="0" collapsed="false"/>
    <row r="1046054" customFormat="false" ht="12.8" hidden="false" customHeight="false" outlineLevel="0" collapsed="false"/>
    <row r="1046055" customFormat="false" ht="12.8" hidden="false" customHeight="false" outlineLevel="0" collapsed="false"/>
    <row r="1046056" customFormat="false" ht="12.8" hidden="false" customHeight="false" outlineLevel="0" collapsed="false"/>
    <row r="1046057" customFormat="false" ht="12.8" hidden="false" customHeight="false" outlineLevel="0" collapsed="false"/>
    <row r="1046058" customFormat="false" ht="12.8" hidden="false" customHeight="false" outlineLevel="0" collapsed="false"/>
    <row r="1046059" customFormat="false" ht="12.8" hidden="false" customHeight="false" outlineLevel="0" collapsed="false"/>
    <row r="1046060" customFormat="false" ht="12.8" hidden="false" customHeight="false" outlineLevel="0" collapsed="false"/>
    <row r="1046061" customFormat="false" ht="12.8" hidden="false" customHeight="false" outlineLevel="0" collapsed="false"/>
    <row r="1046062" customFormat="false" ht="12.8" hidden="false" customHeight="false" outlineLevel="0" collapsed="false"/>
    <row r="1046063" customFormat="false" ht="12.8" hidden="false" customHeight="false" outlineLevel="0" collapsed="false"/>
    <row r="1046064" customFormat="false" ht="12.8" hidden="false" customHeight="false" outlineLevel="0" collapsed="false"/>
    <row r="1046065" customFormat="false" ht="12.8" hidden="false" customHeight="false" outlineLevel="0" collapsed="false"/>
    <row r="1046066" customFormat="false" ht="12.8" hidden="false" customHeight="false" outlineLevel="0" collapsed="false"/>
    <row r="1046067" customFormat="false" ht="12.8" hidden="false" customHeight="false" outlineLevel="0" collapsed="false"/>
    <row r="1046068" customFormat="false" ht="12.8" hidden="false" customHeight="false" outlineLevel="0" collapsed="false"/>
    <row r="1046069" customFormat="false" ht="12.8" hidden="false" customHeight="false" outlineLevel="0" collapsed="false"/>
    <row r="1046070" customFormat="false" ht="12.8" hidden="false" customHeight="false" outlineLevel="0" collapsed="false"/>
    <row r="1046071" customFormat="false" ht="12.8" hidden="false" customHeight="false" outlineLevel="0" collapsed="false"/>
    <row r="1046072" customFormat="false" ht="12.8" hidden="false" customHeight="false" outlineLevel="0" collapsed="false"/>
    <row r="1046073" customFormat="false" ht="12.8" hidden="false" customHeight="false" outlineLevel="0" collapsed="false"/>
    <row r="1046074" customFormat="false" ht="12.8" hidden="false" customHeight="false" outlineLevel="0" collapsed="false"/>
    <row r="1046075" customFormat="false" ht="12.8" hidden="false" customHeight="false" outlineLevel="0" collapsed="false"/>
    <row r="1046076" customFormat="false" ht="12.8" hidden="false" customHeight="false" outlineLevel="0" collapsed="false"/>
    <row r="1046077" customFormat="false" ht="12.8" hidden="false" customHeight="false" outlineLevel="0" collapsed="false"/>
    <row r="1046078" customFormat="false" ht="12.8" hidden="false" customHeight="false" outlineLevel="0" collapsed="false"/>
    <row r="1046079" customFormat="false" ht="12.8" hidden="false" customHeight="false" outlineLevel="0" collapsed="false"/>
    <row r="1046080" customFormat="false" ht="12.8" hidden="false" customHeight="false" outlineLevel="0" collapsed="false"/>
    <row r="1046081" customFormat="false" ht="12.8" hidden="false" customHeight="false" outlineLevel="0" collapsed="false"/>
    <row r="1046082" customFormat="false" ht="12.8" hidden="false" customHeight="false" outlineLevel="0" collapsed="false"/>
    <row r="1046083" customFormat="false" ht="12.8" hidden="false" customHeight="false" outlineLevel="0" collapsed="false"/>
    <row r="1046084" customFormat="false" ht="12.8" hidden="false" customHeight="false" outlineLevel="0" collapsed="false"/>
    <row r="1046085" customFormat="false" ht="12.8" hidden="false" customHeight="false" outlineLevel="0" collapsed="false"/>
    <row r="1046086" customFormat="false" ht="12.8" hidden="false" customHeight="false" outlineLevel="0" collapsed="false"/>
    <row r="1046087" customFormat="false" ht="12.8" hidden="false" customHeight="false" outlineLevel="0" collapsed="false"/>
    <row r="1046088" customFormat="false" ht="12.8" hidden="false" customHeight="false" outlineLevel="0" collapsed="false"/>
    <row r="1046089" customFormat="false" ht="12.8" hidden="false" customHeight="false" outlineLevel="0" collapsed="false"/>
    <row r="1046090" customFormat="false" ht="12.8" hidden="false" customHeight="false" outlineLevel="0" collapsed="false"/>
    <row r="1046091" customFormat="false" ht="12.8" hidden="false" customHeight="false" outlineLevel="0" collapsed="false"/>
    <row r="1046092" customFormat="false" ht="12.8" hidden="false" customHeight="false" outlineLevel="0" collapsed="false"/>
    <row r="1046093" customFormat="false" ht="12.8" hidden="false" customHeight="false" outlineLevel="0" collapsed="false"/>
    <row r="1046094" customFormat="false" ht="12.8" hidden="false" customHeight="false" outlineLevel="0" collapsed="false"/>
    <row r="1046095" customFormat="false" ht="12.8" hidden="false" customHeight="false" outlineLevel="0" collapsed="false"/>
    <row r="1046096" customFormat="false" ht="12.8" hidden="false" customHeight="false" outlineLevel="0" collapsed="false"/>
    <row r="1046097" customFormat="false" ht="12.8" hidden="false" customHeight="false" outlineLevel="0" collapsed="false"/>
    <row r="1046098" customFormat="false" ht="12.8" hidden="false" customHeight="false" outlineLevel="0" collapsed="false"/>
    <row r="1046099" customFormat="false" ht="12.8" hidden="false" customHeight="false" outlineLevel="0" collapsed="false"/>
    <row r="1046100" customFormat="false" ht="12.8" hidden="false" customHeight="false" outlineLevel="0" collapsed="false"/>
    <row r="1046101" customFormat="false" ht="12.8" hidden="false" customHeight="false" outlineLevel="0" collapsed="false"/>
    <row r="1046102" customFormat="false" ht="12.8" hidden="false" customHeight="false" outlineLevel="0" collapsed="false"/>
    <row r="1046103" customFormat="false" ht="12.8" hidden="false" customHeight="false" outlineLevel="0" collapsed="false"/>
    <row r="1046104" customFormat="false" ht="12.8" hidden="false" customHeight="false" outlineLevel="0" collapsed="false"/>
    <row r="1046105" customFormat="false" ht="12.8" hidden="false" customHeight="false" outlineLevel="0" collapsed="false"/>
    <row r="1046106" customFormat="false" ht="12.8" hidden="false" customHeight="false" outlineLevel="0" collapsed="false"/>
    <row r="1046107" customFormat="false" ht="12.8" hidden="false" customHeight="false" outlineLevel="0" collapsed="false"/>
    <row r="1046108" customFormat="false" ht="12.8" hidden="false" customHeight="false" outlineLevel="0" collapsed="false"/>
    <row r="1046109" customFormat="false" ht="12.8" hidden="false" customHeight="false" outlineLevel="0" collapsed="false"/>
    <row r="1046110" customFormat="false" ht="12.8" hidden="false" customHeight="false" outlineLevel="0" collapsed="false"/>
    <row r="1046111" customFormat="false" ht="12.8" hidden="false" customHeight="false" outlineLevel="0" collapsed="false"/>
    <row r="1046112" customFormat="false" ht="12.8" hidden="false" customHeight="false" outlineLevel="0" collapsed="false"/>
    <row r="1046113" customFormat="false" ht="12.8" hidden="false" customHeight="false" outlineLevel="0" collapsed="false"/>
    <row r="1046114" customFormat="false" ht="12.8" hidden="false" customHeight="false" outlineLevel="0" collapsed="false"/>
    <row r="1046115" customFormat="false" ht="12.8" hidden="false" customHeight="false" outlineLevel="0" collapsed="false"/>
    <row r="1046116" customFormat="false" ht="12.8" hidden="false" customHeight="false" outlineLevel="0" collapsed="false"/>
    <row r="1046117" customFormat="false" ht="12.8" hidden="false" customHeight="false" outlineLevel="0" collapsed="false"/>
    <row r="1046118" customFormat="false" ht="12.8" hidden="false" customHeight="false" outlineLevel="0" collapsed="false"/>
    <row r="1046119" customFormat="false" ht="12.8" hidden="false" customHeight="false" outlineLevel="0" collapsed="false"/>
    <row r="1046120" customFormat="false" ht="12.8" hidden="false" customHeight="false" outlineLevel="0" collapsed="false"/>
    <row r="1046121" customFormat="false" ht="12.8" hidden="false" customHeight="false" outlineLevel="0" collapsed="false"/>
    <row r="1046122" customFormat="false" ht="12.8" hidden="false" customHeight="false" outlineLevel="0" collapsed="false"/>
    <row r="1046123" customFormat="false" ht="12.8" hidden="false" customHeight="false" outlineLevel="0" collapsed="false"/>
    <row r="1046124" customFormat="false" ht="12.8" hidden="false" customHeight="false" outlineLevel="0" collapsed="false"/>
    <row r="1046125" customFormat="false" ht="12.8" hidden="false" customHeight="false" outlineLevel="0" collapsed="false"/>
    <row r="1046126" customFormat="false" ht="12.8" hidden="false" customHeight="false" outlineLevel="0" collapsed="false"/>
    <row r="1046127" customFormat="false" ht="12.8" hidden="false" customHeight="false" outlineLevel="0" collapsed="false"/>
    <row r="1046128" customFormat="false" ht="12.8" hidden="false" customHeight="false" outlineLevel="0" collapsed="false"/>
    <row r="1046129" customFormat="false" ht="12.8" hidden="false" customHeight="false" outlineLevel="0" collapsed="false"/>
    <row r="1046130" customFormat="false" ht="12.8" hidden="false" customHeight="false" outlineLevel="0" collapsed="false"/>
    <row r="1046131" customFormat="false" ht="12.8" hidden="false" customHeight="false" outlineLevel="0" collapsed="false"/>
    <row r="1046132" customFormat="false" ht="12.8" hidden="false" customHeight="false" outlineLevel="0" collapsed="false"/>
    <row r="1046133" customFormat="false" ht="12.8" hidden="false" customHeight="false" outlineLevel="0" collapsed="false"/>
    <row r="1046134" customFormat="false" ht="12.8" hidden="false" customHeight="false" outlineLevel="0" collapsed="false"/>
    <row r="1046135" customFormat="false" ht="12.8" hidden="false" customHeight="false" outlineLevel="0" collapsed="false"/>
    <row r="1046136" customFormat="false" ht="12.8" hidden="false" customHeight="false" outlineLevel="0" collapsed="false"/>
    <row r="1046137" customFormat="false" ht="12.8" hidden="false" customHeight="false" outlineLevel="0" collapsed="false"/>
    <row r="1046138" customFormat="false" ht="12.8" hidden="false" customHeight="false" outlineLevel="0" collapsed="false"/>
    <row r="1046139" customFormat="false" ht="12.8" hidden="false" customHeight="false" outlineLevel="0" collapsed="false"/>
    <row r="1046140" customFormat="false" ht="12.8" hidden="false" customHeight="false" outlineLevel="0" collapsed="false"/>
    <row r="1046141" customFormat="false" ht="12.8" hidden="false" customHeight="false" outlineLevel="0" collapsed="false"/>
    <row r="1046142" customFormat="false" ht="12.8" hidden="false" customHeight="false" outlineLevel="0" collapsed="false"/>
    <row r="1046143" customFormat="false" ht="12.8" hidden="false" customHeight="false" outlineLevel="0" collapsed="false"/>
    <row r="1046144" customFormat="false" ht="12.8" hidden="false" customHeight="false" outlineLevel="0" collapsed="false"/>
    <row r="1046145" customFormat="false" ht="12.8" hidden="false" customHeight="false" outlineLevel="0" collapsed="false"/>
    <row r="1046146" customFormat="false" ht="12.8" hidden="false" customHeight="false" outlineLevel="0" collapsed="false"/>
    <row r="1046147" customFormat="false" ht="12.8" hidden="false" customHeight="false" outlineLevel="0" collapsed="false"/>
    <row r="1046148" customFormat="false" ht="12.8" hidden="false" customHeight="false" outlineLevel="0" collapsed="false"/>
    <row r="1046149" customFormat="false" ht="12.8" hidden="false" customHeight="false" outlineLevel="0" collapsed="false"/>
    <row r="1046150" customFormat="false" ht="12.8" hidden="false" customHeight="false" outlineLevel="0" collapsed="false"/>
    <row r="1046151" customFormat="false" ht="12.8" hidden="false" customHeight="false" outlineLevel="0" collapsed="false"/>
    <row r="1046152" customFormat="false" ht="12.8" hidden="false" customHeight="false" outlineLevel="0" collapsed="false"/>
    <row r="1046153" customFormat="false" ht="12.8" hidden="false" customHeight="false" outlineLevel="0" collapsed="false"/>
    <row r="1046154" customFormat="false" ht="12.8" hidden="false" customHeight="false" outlineLevel="0" collapsed="false"/>
    <row r="1046155" customFormat="false" ht="12.8" hidden="false" customHeight="false" outlineLevel="0" collapsed="false"/>
    <row r="1046156" customFormat="false" ht="12.8" hidden="false" customHeight="false" outlineLevel="0" collapsed="false"/>
    <row r="1046157" customFormat="false" ht="12.8" hidden="false" customHeight="false" outlineLevel="0" collapsed="false"/>
    <row r="1046158" customFormat="false" ht="12.8" hidden="false" customHeight="false" outlineLevel="0" collapsed="false"/>
    <row r="1046159" customFormat="false" ht="12.8" hidden="false" customHeight="false" outlineLevel="0" collapsed="false"/>
    <row r="1046160" customFormat="false" ht="12.8" hidden="false" customHeight="false" outlineLevel="0" collapsed="false"/>
    <row r="1046161" customFormat="false" ht="12.8" hidden="false" customHeight="false" outlineLevel="0" collapsed="false"/>
    <row r="1046162" customFormat="false" ht="12.8" hidden="false" customHeight="false" outlineLevel="0" collapsed="false"/>
    <row r="1046163" customFormat="false" ht="12.8" hidden="false" customHeight="false" outlineLevel="0" collapsed="false"/>
    <row r="1046164" customFormat="false" ht="12.8" hidden="false" customHeight="false" outlineLevel="0" collapsed="false"/>
    <row r="1046165" customFormat="false" ht="12.8" hidden="false" customHeight="false" outlineLevel="0" collapsed="false"/>
    <row r="1046166" customFormat="false" ht="12.8" hidden="false" customHeight="false" outlineLevel="0" collapsed="false"/>
    <row r="1046167" customFormat="false" ht="12.8" hidden="false" customHeight="false" outlineLevel="0" collapsed="false"/>
    <row r="1046168" customFormat="false" ht="12.8" hidden="false" customHeight="false" outlineLevel="0" collapsed="false"/>
    <row r="1046169" customFormat="false" ht="12.8" hidden="false" customHeight="false" outlineLevel="0" collapsed="false"/>
    <row r="1046170" customFormat="false" ht="12.8" hidden="false" customHeight="false" outlineLevel="0" collapsed="false"/>
    <row r="1046171" customFormat="false" ht="12.8" hidden="false" customHeight="false" outlineLevel="0" collapsed="false"/>
    <row r="1046172" customFormat="false" ht="12.8" hidden="false" customHeight="false" outlineLevel="0" collapsed="false"/>
    <row r="1046173" customFormat="false" ht="12.8" hidden="false" customHeight="false" outlineLevel="0" collapsed="false"/>
    <row r="1046174" customFormat="false" ht="12.8" hidden="false" customHeight="false" outlineLevel="0" collapsed="false"/>
    <row r="1046175" customFormat="false" ht="12.8" hidden="false" customHeight="false" outlineLevel="0" collapsed="false"/>
    <row r="1046176" customFormat="false" ht="12.8" hidden="false" customHeight="false" outlineLevel="0" collapsed="false"/>
    <row r="1046177" customFormat="false" ht="12.8" hidden="false" customHeight="false" outlineLevel="0" collapsed="false"/>
    <row r="1046178" customFormat="false" ht="12.8" hidden="false" customHeight="false" outlineLevel="0" collapsed="false"/>
    <row r="1046179" customFormat="false" ht="12.8" hidden="false" customHeight="false" outlineLevel="0" collapsed="false"/>
    <row r="1046180" customFormat="false" ht="12.8" hidden="false" customHeight="false" outlineLevel="0" collapsed="false"/>
    <row r="1046181" customFormat="false" ht="12.8" hidden="false" customHeight="false" outlineLevel="0" collapsed="false"/>
    <row r="1046182" customFormat="false" ht="12.8" hidden="false" customHeight="false" outlineLevel="0" collapsed="false"/>
    <row r="1046183" customFormat="false" ht="12.8" hidden="false" customHeight="false" outlineLevel="0" collapsed="false"/>
    <row r="1046184" customFormat="false" ht="12.8" hidden="false" customHeight="false" outlineLevel="0" collapsed="false"/>
    <row r="1046185" customFormat="false" ht="12.8" hidden="false" customHeight="false" outlineLevel="0" collapsed="false"/>
    <row r="1046186" customFormat="false" ht="12.8" hidden="false" customHeight="false" outlineLevel="0" collapsed="false"/>
    <row r="1046187" customFormat="false" ht="12.8" hidden="false" customHeight="false" outlineLevel="0" collapsed="false"/>
    <row r="1046188" customFormat="false" ht="12.8" hidden="false" customHeight="false" outlineLevel="0" collapsed="false"/>
    <row r="1046189" customFormat="false" ht="12.8" hidden="false" customHeight="false" outlineLevel="0" collapsed="false"/>
    <row r="1046190" customFormat="false" ht="12.8" hidden="false" customHeight="false" outlineLevel="0" collapsed="false"/>
    <row r="1046191" customFormat="false" ht="12.8" hidden="false" customHeight="false" outlineLevel="0" collapsed="false"/>
    <row r="1046192" customFormat="false" ht="12.8" hidden="false" customHeight="false" outlineLevel="0" collapsed="false"/>
    <row r="1046193" customFormat="false" ht="12.8" hidden="false" customHeight="false" outlineLevel="0" collapsed="false"/>
    <row r="1046194" customFormat="false" ht="12.8" hidden="false" customHeight="false" outlineLevel="0" collapsed="false"/>
    <row r="1046195" customFormat="false" ht="12.8" hidden="false" customHeight="false" outlineLevel="0" collapsed="false"/>
    <row r="1046196" customFormat="false" ht="12.8" hidden="false" customHeight="false" outlineLevel="0" collapsed="false"/>
    <row r="1046197" customFormat="false" ht="12.8" hidden="false" customHeight="false" outlineLevel="0" collapsed="false"/>
    <row r="1046198" customFormat="false" ht="12.8" hidden="false" customHeight="false" outlineLevel="0" collapsed="false"/>
    <row r="1046199" customFormat="false" ht="12.8" hidden="false" customHeight="false" outlineLevel="0" collapsed="false"/>
    <row r="1046200" customFormat="false" ht="12.8" hidden="false" customHeight="false" outlineLevel="0" collapsed="false"/>
    <row r="1046201" customFormat="false" ht="12.8" hidden="false" customHeight="false" outlineLevel="0" collapsed="false"/>
    <row r="1046202" customFormat="false" ht="12.8" hidden="false" customHeight="false" outlineLevel="0" collapsed="false"/>
    <row r="1046203" customFormat="false" ht="12.8" hidden="false" customHeight="false" outlineLevel="0" collapsed="false"/>
    <row r="1046204" customFormat="false" ht="12.8" hidden="false" customHeight="false" outlineLevel="0" collapsed="false"/>
    <row r="1046205" customFormat="false" ht="12.8" hidden="false" customHeight="false" outlineLevel="0" collapsed="false"/>
    <row r="1046206" customFormat="false" ht="12.8" hidden="false" customHeight="false" outlineLevel="0" collapsed="false"/>
    <row r="1046207" customFormat="false" ht="12.8" hidden="false" customHeight="false" outlineLevel="0" collapsed="false"/>
    <row r="1046208" customFormat="false" ht="12.8" hidden="false" customHeight="false" outlineLevel="0" collapsed="false"/>
    <row r="1046209" customFormat="false" ht="12.8" hidden="false" customHeight="false" outlineLevel="0" collapsed="false"/>
    <row r="1046210" customFormat="false" ht="12.8" hidden="false" customHeight="false" outlineLevel="0" collapsed="false"/>
    <row r="1046211" customFormat="false" ht="12.8" hidden="false" customHeight="false" outlineLevel="0" collapsed="false"/>
    <row r="1046212" customFormat="false" ht="12.8" hidden="false" customHeight="false" outlineLevel="0" collapsed="false"/>
    <row r="1046213" customFormat="false" ht="12.8" hidden="false" customHeight="false" outlineLevel="0" collapsed="false"/>
    <row r="1046214" customFormat="false" ht="12.8" hidden="false" customHeight="false" outlineLevel="0" collapsed="false"/>
    <row r="1046215" customFormat="false" ht="12.8" hidden="false" customHeight="false" outlineLevel="0" collapsed="false"/>
    <row r="1046216" customFormat="false" ht="12.8" hidden="false" customHeight="false" outlineLevel="0" collapsed="false"/>
    <row r="1046217" customFormat="false" ht="12.8" hidden="false" customHeight="false" outlineLevel="0" collapsed="false"/>
    <row r="1046218" customFormat="false" ht="12.8" hidden="false" customHeight="false" outlineLevel="0" collapsed="false"/>
    <row r="1046219" customFormat="false" ht="12.8" hidden="false" customHeight="false" outlineLevel="0" collapsed="false"/>
    <row r="1046220" customFormat="false" ht="12.8" hidden="false" customHeight="false" outlineLevel="0" collapsed="false"/>
    <row r="1046221" customFormat="false" ht="12.8" hidden="false" customHeight="false" outlineLevel="0" collapsed="false"/>
    <row r="1046222" customFormat="false" ht="12.8" hidden="false" customHeight="false" outlineLevel="0" collapsed="false"/>
    <row r="1046223" customFormat="false" ht="12.8" hidden="false" customHeight="false" outlineLevel="0" collapsed="false"/>
    <row r="1046224" customFormat="false" ht="12.8" hidden="false" customHeight="false" outlineLevel="0" collapsed="false"/>
    <row r="1046225" customFormat="false" ht="12.8" hidden="false" customHeight="false" outlineLevel="0" collapsed="false"/>
    <row r="1046226" customFormat="false" ht="12.8" hidden="false" customHeight="false" outlineLevel="0" collapsed="false"/>
    <row r="1046227" customFormat="false" ht="12.8" hidden="false" customHeight="false" outlineLevel="0" collapsed="false"/>
    <row r="1046228" customFormat="false" ht="12.8" hidden="false" customHeight="false" outlineLevel="0" collapsed="false"/>
    <row r="1046229" customFormat="false" ht="12.8" hidden="false" customHeight="false" outlineLevel="0" collapsed="false"/>
    <row r="1046230" customFormat="false" ht="12.8" hidden="false" customHeight="false" outlineLevel="0" collapsed="false"/>
    <row r="1046231" customFormat="false" ht="12.8" hidden="false" customHeight="false" outlineLevel="0" collapsed="false"/>
    <row r="1046232" customFormat="false" ht="12.8" hidden="false" customHeight="false" outlineLevel="0" collapsed="false"/>
    <row r="1046233" customFormat="false" ht="12.8" hidden="false" customHeight="false" outlineLevel="0" collapsed="false"/>
    <row r="1046234" customFormat="false" ht="12.8" hidden="false" customHeight="false" outlineLevel="0" collapsed="false"/>
    <row r="1046235" customFormat="false" ht="12.8" hidden="false" customHeight="false" outlineLevel="0" collapsed="false"/>
    <row r="1046236" customFormat="false" ht="12.8" hidden="false" customHeight="false" outlineLevel="0" collapsed="false"/>
    <row r="1046237" customFormat="false" ht="12.8" hidden="false" customHeight="false" outlineLevel="0" collapsed="false"/>
    <row r="1046238" customFormat="false" ht="12.8" hidden="false" customHeight="false" outlineLevel="0" collapsed="false"/>
    <row r="1046239" customFormat="false" ht="12.8" hidden="false" customHeight="false" outlineLevel="0" collapsed="false"/>
    <row r="1046240" customFormat="false" ht="12.8" hidden="false" customHeight="false" outlineLevel="0" collapsed="false"/>
    <row r="1046241" customFormat="false" ht="12.8" hidden="false" customHeight="false" outlineLevel="0" collapsed="false"/>
    <row r="1046242" customFormat="false" ht="12.8" hidden="false" customHeight="false" outlineLevel="0" collapsed="false"/>
    <row r="1046243" customFormat="false" ht="12.8" hidden="false" customHeight="false" outlineLevel="0" collapsed="false"/>
    <row r="1046244" customFormat="false" ht="12.8" hidden="false" customHeight="false" outlineLevel="0" collapsed="false"/>
    <row r="1046245" customFormat="false" ht="12.8" hidden="false" customHeight="false" outlineLevel="0" collapsed="false"/>
    <row r="1046246" customFormat="false" ht="12.8" hidden="false" customHeight="false" outlineLevel="0" collapsed="false"/>
    <row r="1046247" customFormat="false" ht="12.8" hidden="false" customHeight="false" outlineLevel="0" collapsed="false"/>
    <row r="1046248" customFormat="false" ht="12.8" hidden="false" customHeight="false" outlineLevel="0" collapsed="false"/>
    <row r="1046249" customFormat="false" ht="12.8" hidden="false" customHeight="false" outlineLevel="0" collapsed="false"/>
    <row r="1046250" customFormat="false" ht="12.8" hidden="false" customHeight="false" outlineLevel="0" collapsed="false"/>
    <row r="1046251" customFormat="false" ht="12.8" hidden="false" customHeight="false" outlineLevel="0" collapsed="false"/>
    <row r="1046252" customFormat="false" ht="12.8" hidden="false" customHeight="false" outlineLevel="0" collapsed="false"/>
    <row r="1046253" customFormat="false" ht="12.8" hidden="false" customHeight="false" outlineLevel="0" collapsed="false"/>
    <row r="1046254" customFormat="false" ht="12.8" hidden="false" customHeight="false" outlineLevel="0" collapsed="false"/>
    <row r="1046255" customFormat="false" ht="12.8" hidden="false" customHeight="false" outlineLevel="0" collapsed="false"/>
    <row r="1046256" customFormat="false" ht="12.8" hidden="false" customHeight="false" outlineLevel="0" collapsed="false"/>
    <row r="1046257" customFormat="false" ht="12.8" hidden="false" customHeight="false" outlineLevel="0" collapsed="false"/>
    <row r="1046258" customFormat="false" ht="12.8" hidden="false" customHeight="false" outlineLevel="0" collapsed="false"/>
    <row r="1046259" customFormat="false" ht="12.8" hidden="false" customHeight="false" outlineLevel="0" collapsed="false"/>
    <row r="1046260" customFormat="false" ht="12.8" hidden="false" customHeight="false" outlineLevel="0" collapsed="false"/>
    <row r="1046261" customFormat="false" ht="12.8" hidden="false" customHeight="false" outlineLevel="0" collapsed="false"/>
    <row r="1046262" customFormat="false" ht="12.8" hidden="false" customHeight="false" outlineLevel="0" collapsed="false"/>
    <row r="1046263" customFormat="false" ht="12.8" hidden="false" customHeight="false" outlineLevel="0" collapsed="false"/>
    <row r="1046264" customFormat="false" ht="12.8" hidden="false" customHeight="false" outlineLevel="0" collapsed="false"/>
    <row r="1046265" customFormat="false" ht="12.8" hidden="false" customHeight="false" outlineLevel="0" collapsed="false"/>
    <row r="1046266" customFormat="false" ht="12.8" hidden="false" customHeight="false" outlineLevel="0" collapsed="false"/>
    <row r="1046267" customFormat="false" ht="12.8" hidden="false" customHeight="false" outlineLevel="0" collapsed="false"/>
    <row r="1046268" customFormat="false" ht="12.8" hidden="false" customHeight="false" outlineLevel="0" collapsed="false"/>
    <row r="1046269" customFormat="false" ht="12.8" hidden="false" customHeight="false" outlineLevel="0" collapsed="false"/>
    <row r="1046270" customFormat="false" ht="12.8" hidden="false" customHeight="false" outlineLevel="0" collapsed="false"/>
    <row r="1046271" customFormat="false" ht="12.8" hidden="false" customHeight="false" outlineLevel="0" collapsed="false"/>
    <row r="1046272" customFormat="false" ht="12.8" hidden="false" customHeight="false" outlineLevel="0" collapsed="false"/>
    <row r="1046273" customFormat="false" ht="12.8" hidden="false" customHeight="false" outlineLevel="0" collapsed="false"/>
    <row r="1046274" customFormat="false" ht="12.8" hidden="false" customHeight="false" outlineLevel="0" collapsed="false"/>
    <row r="1046275" customFormat="false" ht="12.8" hidden="false" customHeight="false" outlineLevel="0" collapsed="false"/>
    <row r="1046276" customFormat="false" ht="12.8" hidden="false" customHeight="false" outlineLevel="0" collapsed="false"/>
    <row r="1046277" customFormat="false" ht="12.8" hidden="false" customHeight="false" outlineLevel="0" collapsed="false"/>
    <row r="1046278" customFormat="false" ht="12.8" hidden="false" customHeight="false" outlineLevel="0" collapsed="false"/>
    <row r="1046279" customFormat="false" ht="12.8" hidden="false" customHeight="false" outlineLevel="0" collapsed="false"/>
    <row r="1046280" customFormat="false" ht="12.8" hidden="false" customHeight="false" outlineLevel="0" collapsed="false"/>
    <row r="1046281" customFormat="false" ht="12.8" hidden="false" customHeight="false" outlineLevel="0" collapsed="false"/>
    <row r="1046282" customFormat="false" ht="12.8" hidden="false" customHeight="false" outlineLevel="0" collapsed="false"/>
    <row r="1046283" customFormat="false" ht="12.8" hidden="false" customHeight="false" outlineLevel="0" collapsed="false"/>
    <row r="1046284" customFormat="false" ht="12.8" hidden="false" customHeight="false" outlineLevel="0" collapsed="false"/>
    <row r="1046285" customFormat="false" ht="12.8" hidden="false" customHeight="false" outlineLevel="0" collapsed="false"/>
    <row r="1046286" customFormat="false" ht="12.8" hidden="false" customHeight="false" outlineLevel="0" collapsed="false"/>
    <row r="1046287" customFormat="false" ht="12.8" hidden="false" customHeight="false" outlineLevel="0" collapsed="false"/>
    <row r="1046288" customFormat="false" ht="12.8" hidden="false" customHeight="false" outlineLevel="0" collapsed="false"/>
    <row r="1046289" customFormat="false" ht="12.8" hidden="false" customHeight="false" outlineLevel="0" collapsed="false"/>
    <row r="1046290" customFormat="false" ht="12.8" hidden="false" customHeight="false" outlineLevel="0" collapsed="false"/>
    <row r="1046291" customFormat="false" ht="12.8" hidden="false" customHeight="false" outlineLevel="0" collapsed="false"/>
    <row r="1046292" customFormat="false" ht="12.8" hidden="false" customHeight="false" outlineLevel="0" collapsed="false"/>
    <row r="1046293" customFormat="false" ht="12.8" hidden="false" customHeight="false" outlineLevel="0" collapsed="false"/>
    <row r="1046294" customFormat="false" ht="12.8" hidden="false" customHeight="false" outlineLevel="0" collapsed="false"/>
    <row r="1046295" customFormat="false" ht="12.8" hidden="false" customHeight="false" outlineLevel="0" collapsed="false"/>
    <row r="1046296" customFormat="false" ht="12.8" hidden="false" customHeight="false" outlineLevel="0" collapsed="false"/>
    <row r="1046297" customFormat="false" ht="12.8" hidden="false" customHeight="false" outlineLevel="0" collapsed="false"/>
    <row r="1046298" customFormat="false" ht="12.8" hidden="false" customHeight="false" outlineLevel="0" collapsed="false"/>
    <row r="1046299" customFormat="false" ht="12.8" hidden="false" customHeight="false" outlineLevel="0" collapsed="false"/>
    <row r="1046300" customFormat="false" ht="12.8" hidden="false" customHeight="false" outlineLevel="0" collapsed="false"/>
    <row r="1046301" customFormat="false" ht="12.8" hidden="false" customHeight="false" outlineLevel="0" collapsed="false"/>
    <row r="1046302" customFormat="false" ht="12.8" hidden="false" customHeight="false" outlineLevel="0" collapsed="false"/>
    <row r="1046303" customFormat="false" ht="12.8" hidden="false" customHeight="false" outlineLevel="0" collapsed="false"/>
    <row r="1046304" customFormat="false" ht="12.8" hidden="false" customHeight="false" outlineLevel="0" collapsed="false"/>
    <row r="1046305" customFormat="false" ht="12.8" hidden="false" customHeight="false" outlineLevel="0" collapsed="false"/>
    <row r="1046306" customFormat="false" ht="12.8" hidden="false" customHeight="false" outlineLevel="0" collapsed="false"/>
    <row r="1046307" customFormat="false" ht="12.8" hidden="false" customHeight="false" outlineLevel="0" collapsed="false"/>
    <row r="1046308" customFormat="false" ht="12.8" hidden="false" customHeight="false" outlineLevel="0" collapsed="false"/>
    <row r="1046309" customFormat="false" ht="12.8" hidden="false" customHeight="false" outlineLevel="0" collapsed="false"/>
    <row r="1046310" customFormat="false" ht="12.8" hidden="false" customHeight="false" outlineLevel="0" collapsed="false"/>
    <row r="1046311" customFormat="false" ht="12.8" hidden="false" customHeight="false" outlineLevel="0" collapsed="false"/>
    <row r="1046312" customFormat="false" ht="12.8" hidden="false" customHeight="false" outlineLevel="0" collapsed="false"/>
    <row r="1046313" customFormat="false" ht="12.8" hidden="false" customHeight="false" outlineLevel="0" collapsed="false"/>
    <row r="1046314" customFormat="false" ht="12.8" hidden="false" customHeight="false" outlineLevel="0" collapsed="false"/>
    <row r="1046315" customFormat="false" ht="12.8" hidden="false" customHeight="false" outlineLevel="0" collapsed="false"/>
    <row r="1046316" customFormat="false" ht="12.8" hidden="false" customHeight="false" outlineLevel="0" collapsed="false"/>
    <row r="1046317" customFormat="false" ht="12.8" hidden="false" customHeight="false" outlineLevel="0" collapsed="false"/>
    <row r="1046318" customFormat="false" ht="12.8" hidden="false" customHeight="false" outlineLevel="0" collapsed="false"/>
    <row r="1046319" customFormat="false" ht="12.8" hidden="false" customHeight="false" outlineLevel="0" collapsed="false"/>
    <row r="1046320" customFormat="false" ht="12.8" hidden="false" customHeight="false" outlineLevel="0" collapsed="false"/>
    <row r="1046321" customFormat="false" ht="12.8" hidden="false" customHeight="false" outlineLevel="0" collapsed="false"/>
    <row r="1046322" customFormat="false" ht="12.8" hidden="false" customHeight="false" outlineLevel="0" collapsed="false"/>
    <row r="1046323" customFormat="false" ht="12.8" hidden="false" customHeight="false" outlineLevel="0" collapsed="false"/>
    <row r="1046324" customFormat="false" ht="12.8" hidden="false" customHeight="false" outlineLevel="0" collapsed="false"/>
    <row r="1046325" customFormat="false" ht="12.8" hidden="false" customHeight="false" outlineLevel="0" collapsed="false"/>
    <row r="1046326" customFormat="false" ht="12.8" hidden="false" customHeight="false" outlineLevel="0" collapsed="false"/>
    <row r="1046327" customFormat="false" ht="12.8" hidden="false" customHeight="false" outlineLevel="0" collapsed="false"/>
    <row r="1046328" customFormat="false" ht="12.8" hidden="false" customHeight="false" outlineLevel="0" collapsed="false"/>
    <row r="1046329" customFormat="false" ht="12.8" hidden="false" customHeight="false" outlineLevel="0" collapsed="false"/>
    <row r="1046330" customFormat="false" ht="12.8" hidden="false" customHeight="false" outlineLevel="0" collapsed="false"/>
    <row r="1046331" customFormat="false" ht="12.8" hidden="false" customHeight="false" outlineLevel="0" collapsed="false"/>
    <row r="1046332" customFormat="false" ht="12.8" hidden="false" customHeight="false" outlineLevel="0" collapsed="false"/>
    <row r="1046333" customFormat="false" ht="12.8" hidden="false" customHeight="false" outlineLevel="0" collapsed="false"/>
    <row r="1046334" customFormat="false" ht="12.8" hidden="false" customHeight="false" outlineLevel="0" collapsed="false"/>
    <row r="1046335" customFormat="false" ht="12.8" hidden="false" customHeight="false" outlineLevel="0" collapsed="false"/>
    <row r="1046336" customFormat="false" ht="12.8" hidden="false" customHeight="false" outlineLevel="0" collapsed="false"/>
    <row r="1046337" customFormat="false" ht="12.8" hidden="false" customHeight="false" outlineLevel="0" collapsed="false"/>
    <row r="1046338" customFormat="false" ht="12.8" hidden="false" customHeight="false" outlineLevel="0" collapsed="false"/>
    <row r="1046339" customFormat="false" ht="12.8" hidden="false" customHeight="false" outlineLevel="0" collapsed="false"/>
    <row r="1046340" customFormat="false" ht="12.8" hidden="false" customHeight="false" outlineLevel="0" collapsed="false"/>
    <row r="1046341" customFormat="false" ht="12.8" hidden="false" customHeight="false" outlineLevel="0" collapsed="false"/>
    <row r="1046342" customFormat="false" ht="12.8" hidden="false" customHeight="false" outlineLevel="0" collapsed="false"/>
    <row r="1046343" customFormat="false" ht="12.8" hidden="false" customHeight="false" outlineLevel="0" collapsed="false"/>
    <row r="1046344" customFormat="false" ht="12.8" hidden="false" customHeight="false" outlineLevel="0" collapsed="false"/>
    <row r="1046345" customFormat="false" ht="12.8" hidden="false" customHeight="false" outlineLevel="0" collapsed="false"/>
    <row r="1046346" customFormat="false" ht="12.8" hidden="false" customHeight="false" outlineLevel="0" collapsed="false"/>
    <row r="1046347" customFormat="false" ht="12.8" hidden="false" customHeight="false" outlineLevel="0" collapsed="false"/>
    <row r="1046348" customFormat="false" ht="12.8" hidden="false" customHeight="false" outlineLevel="0" collapsed="false"/>
    <row r="1046349" customFormat="false" ht="12.8" hidden="false" customHeight="false" outlineLevel="0" collapsed="false"/>
    <row r="1046350" customFormat="false" ht="12.8" hidden="false" customHeight="false" outlineLevel="0" collapsed="false"/>
    <row r="1046351" customFormat="false" ht="12.8" hidden="false" customHeight="false" outlineLevel="0" collapsed="false"/>
    <row r="1046352" customFormat="false" ht="12.8" hidden="false" customHeight="false" outlineLevel="0" collapsed="false"/>
    <row r="1046353" customFormat="false" ht="12.8" hidden="false" customHeight="false" outlineLevel="0" collapsed="false"/>
    <row r="1046354" customFormat="false" ht="12.8" hidden="false" customHeight="false" outlineLevel="0" collapsed="false"/>
    <row r="1046355" customFormat="false" ht="12.8" hidden="false" customHeight="false" outlineLevel="0" collapsed="false"/>
    <row r="1046356" customFormat="false" ht="12.8" hidden="false" customHeight="false" outlineLevel="0" collapsed="false"/>
    <row r="1046357" customFormat="false" ht="12.8" hidden="false" customHeight="false" outlineLevel="0" collapsed="false"/>
    <row r="1046358" customFormat="false" ht="12.8" hidden="false" customHeight="false" outlineLevel="0" collapsed="false"/>
    <row r="1046359" customFormat="false" ht="12.8" hidden="false" customHeight="false" outlineLevel="0" collapsed="false"/>
    <row r="1046360" customFormat="false" ht="12.8" hidden="false" customHeight="false" outlineLevel="0" collapsed="false"/>
    <row r="1046361" customFormat="false" ht="12.8" hidden="false" customHeight="false" outlineLevel="0" collapsed="false"/>
    <row r="1046362" customFormat="false" ht="12.8" hidden="false" customHeight="false" outlineLevel="0" collapsed="false"/>
    <row r="1046363" customFormat="false" ht="12.8" hidden="false" customHeight="false" outlineLevel="0" collapsed="false"/>
    <row r="1046364" customFormat="false" ht="12.8" hidden="false" customHeight="false" outlineLevel="0" collapsed="false"/>
    <row r="1046365" customFormat="false" ht="12.8" hidden="false" customHeight="false" outlineLevel="0" collapsed="false"/>
    <row r="1046366" customFormat="false" ht="12.8" hidden="false" customHeight="false" outlineLevel="0" collapsed="false"/>
    <row r="1046367" customFormat="false" ht="12.8" hidden="false" customHeight="false" outlineLevel="0" collapsed="false"/>
    <row r="1046368" customFormat="false" ht="12.8" hidden="false" customHeight="false" outlineLevel="0" collapsed="false"/>
    <row r="1046369" customFormat="false" ht="12.8" hidden="false" customHeight="false" outlineLevel="0" collapsed="false"/>
    <row r="1046370" customFormat="false" ht="12.8" hidden="false" customHeight="false" outlineLevel="0" collapsed="false"/>
    <row r="1046371" customFormat="false" ht="12.8" hidden="false" customHeight="false" outlineLevel="0" collapsed="false"/>
    <row r="1046372" customFormat="false" ht="12.8" hidden="false" customHeight="false" outlineLevel="0" collapsed="false"/>
    <row r="1046373" customFormat="false" ht="12.8" hidden="false" customHeight="false" outlineLevel="0" collapsed="false"/>
    <row r="1046374" customFormat="false" ht="12.8" hidden="false" customHeight="false" outlineLevel="0" collapsed="false"/>
    <row r="1046375" customFormat="false" ht="12.8" hidden="false" customHeight="false" outlineLevel="0" collapsed="false"/>
    <row r="1046376" customFormat="false" ht="12.8" hidden="false" customHeight="false" outlineLevel="0" collapsed="false"/>
    <row r="1046377" customFormat="false" ht="12.8" hidden="false" customHeight="false" outlineLevel="0" collapsed="false"/>
    <row r="1046378" customFormat="false" ht="12.8" hidden="false" customHeight="false" outlineLevel="0" collapsed="false"/>
    <row r="1046379" customFormat="false" ht="12.8" hidden="false" customHeight="false" outlineLevel="0" collapsed="false"/>
    <row r="1046380" customFormat="false" ht="12.8" hidden="false" customHeight="false" outlineLevel="0" collapsed="false"/>
    <row r="1046381" customFormat="false" ht="12.8" hidden="false" customHeight="false" outlineLevel="0" collapsed="false"/>
    <row r="1046382" customFormat="false" ht="12.8" hidden="false" customHeight="false" outlineLevel="0" collapsed="false"/>
    <row r="1046383" customFormat="false" ht="12.8" hidden="false" customHeight="false" outlineLevel="0" collapsed="false"/>
    <row r="1046384" customFormat="false" ht="12.8" hidden="false" customHeight="false" outlineLevel="0" collapsed="false"/>
    <row r="1046385" customFormat="false" ht="12.8" hidden="false" customHeight="false" outlineLevel="0" collapsed="false"/>
    <row r="1046386" customFormat="false" ht="12.8" hidden="false" customHeight="false" outlineLevel="0" collapsed="false"/>
    <row r="1046387" customFormat="false" ht="12.8" hidden="false" customHeight="false" outlineLevel="0" collapsed="false"/>
    <row r="1046388" customFormat="false" ht="12.8" hidden="false" customHeight="false" outlineLevel="0" collapsed="false"/>
    <row r="1046389" customFormat="false" ht="12.8" hidden="false" customHeight="false" outlineLevel="0" collapsed="false"/>
    <row r="1046390" customFormat="false" ht="12.8" hidden="false" customHeight="false" outlineLevel="0" collapsed="false"/>
    <row r="1046391" customFormat="false" ht="12.8" hidden="false" customHeight="false" outlineLevel="0" collapsed="false"/>
    <row r="1046392" customFormat="false" ht="12.8" hidden="false" customHeight="false" outlineLevel="0" collapsed="false"/>
    <row r="1046393" customFormat="false" ht="12.8" hidden="false" customHeight="false" outlineLevel="0" collapsed="false"/>
    <row r="1046394" customFormat="false" ht="12.8" hidden="false" customHeight="false" outlineLevel="0" collapsed="false"/>
    <row r="1046395" customFormat="false" ht="12.8" hidden="false" customHeight="false" outlineLevel="0" collapsed="false"/>
    <row r="1046396" customFormat="false" ht="12.8" hidden="false" customHeight="false" outlineLevel="0" collapsed="false"/>
    <row r="1046397" customFormat="false" ht="12.8" hidden="false" customHeight="false" outlineLevel="0" collapsed="false"/>
    <row r="1046398" customFormat="false" ht="12.8" hidden="false" customHeight="false" outlineLevel="0" collapsed="false"/>
    <row r="1046399" customFormat="false" ht="12.8" hidden="false" customHeight="false" outlineLevel="0" collapsed="false"/>
    <row r="1046400" customFormat="false" ht="12.8" hidden="false" customHeight="false" outlineLevel="0" collapsed="false"/>
    <row r="1046401" customFormat="false" ht="12.8" hidden="false" customHeight="false" outlineLevel="0" collapsed="false"/>
    <row r="1046402" customFormat="false" ht="12.8" hidden="false" customHeight="false" outlineLevel="0" collapsed="false"/>
    <row r="1046403" customFormat="false" ht="12.8" hidden="false" customHeight="false" outlineLevel="0" collapsed="false"/>
    <row r="1046404" customFormat="false" ht="12.8" hidden="false" customHeight="false" outlineLevel="0" collapsed="false"/>
    <row r="1046405" customFormat="false" ht="12.8" hidden="false" customHeight="false" outlineLevel="0" collapsed="false"/>
    <row r="1046406" customFormat="false" ht="12.8" hidden="false" customHeight="false" outlineLevel="0" collapsed="false"/>
    <row r="1046407" customFormat="false" ht="12.8" hidden="false" customHeight="false" outlineLevel="0" collapsed="false"/>
    <row r="1046408" customFormat="false" ht="12.8" hidden="false" customHeight="false" outlineLevel="0" collapsed="false"/>
    <row r="1046409" customFormat="false" ht="12.8" hidden="false" customHeight="false" outlineLevel="0" collapsed="false"/>
    <row r="1046410" customFormat="false" ht="12.8" hidden="false" customHeight="false" outlineLevel="0" collapsed="false"/>
    <row r="1046411" customFormat="false" ht="12.8" hidden="false" customHeight="false" outlineLevel="0" collapsed="false"/>
    <row r="1046412" customFormat="false" ht="12.8" hidden="false" customHeight="false" outlineLevel="0" collapsed="false"/>
    <row r="1046413" customFormat="false" ht="12.8" hidden="false" customHeight="false" outlineLevel="0" collapsed="false"/>
    <row r="1046414" customFormat="false" ht="12.8" hidden="false" customHeight="false" outlineLevel="0" collapsed="false"/>
    <row r="1046415" customFormat="false" ht="12.8" hidden="false" customHeight="false" outlineLevel="0" collapsed="false"/>
    <row r="1046416" customFormat="false" ht="12.8" hidden="false" customHeight="false" outlineLevel="0" collapsed="false"/>
    <row r="1046417" customFormat="false" ht="12.8" hidden="false" customHeight="false" outlineLevel="0" collapsed="false"/>
    <row r="1046418" customFormat="false" ht="12.8" hidden="false" customHeight="false" outlineLevel="0" collapsed="false"/>
    <row r="1046419" customFormat="false" ht="12.8" hidden="false" customHeight="false" outlineLevel="0" collapsed="false"/>
    <row r="1046420" customFormat="false" ht="12.8" hidden="false" customHeight="false" outlineLevel="0" collapsed="false"/>
    <row r="1046421" customFormat="false" ht="12.8" hidden="false" customHeight="false" outlineLevel="0" collapsed="false"/>
    <row r="1046422" customFormat="false" ht="12.8" hidden="false" customHeight="false" outlineLevel="0" collapsed="false"/>
    <row r="1046423" customFormat="false" ht="12.8" hidden="false" customHeight="false" outlineLevel="0" collapsed="false"/>
    <row r="1046424" customFormat="false" ht="12.8" hidden="false" customHeight="false" outlineLevel="0" collapsed="false"/>
    <row r="1046425" customFormat="false" ht="12.8" hidden="false" customHeight="false" outlineLevel="0" collapsed="false"/>
    <row r="1046426" customFormat="false" ht="12.8" hidden="false" customHeight="false" outlineLevel="0" collapsed="false"/>
    <row r="1046427" customFormat="false" ht="12.8" hidden="false" customHeight="false" outlineLevel="0" collapsed="false"/>
    <row r="1046428" customFormat="false" ht="12.8" hidden="false" customHeight="false" outlineLevel="0" collapsed="false"/>
    <row r="1046429" customFormat="false" ht="12.8" hidden="false" customHeight="false" outlineLevel="0" collapsed="false"/>
    <row r="1046430" customFormat="false" ht="12.8" hidden="false" customHeight="false" outlineLevel="0" collapsed="false"/>
    <row r="1046431" customFormat="false" ht="12.8" hidden="false" customHeight="false" outlineLevel="0" collapsed="false"/>
    <row r="1046432" customFormat="false" ht="12.8" hidden="false" customHeight="false" outlineLevel="0" collapsed="false"/>
    <row r="1046433" customFormat="false" ht="12.8" hidden="false" customHeight="false" outlineLevel="0" collapsed="false"/>
    <row r="1046434" customFormat="false" ht="12.8" hidden="false" customHeight="false" outlineLevel="0" collapsed="false"/>
    <row r="1046435" customFormat="false" ht="12.8" hidden="false" customHeight="false" outlineLevel="0" collapsed="false"/>
    <row r="1046436" customFormat="false" ht="12.8" hidden="false" customHeight="false" outlineLevel="0" collapsed="false"/>
    <row r="1046437" customFormat="false" ht="12.8" hidden="false" customHeight="false" outlineLevel="0" collapsed="false"/>
    <row r="1046438" customFormat="false" ht="12.8" hidden="false" customHeight="false" outlineLevel="0" collapsed="false"/>
    <row r="1046439" customFormat="false" ht="12.8" hidden="false" customHeight="false" outlineLevel="0" collapsed="false"/>
    <row r="1046440" customFormat="false" ht="12.8" hidden="false" customHeight="false" outlineLevel="0" collapsed="false"/>
    <row r="1046441" customFormat="false" ht="12.8" hidden="false" customHeight="false" outlineLevel="0" collapsed="false"/>
    <row r="1046442" customFormat="false" ht="12.8" hidden="false" customHeight="false" outlineLevel="0" collapsed="false"/>
    <row r="1046443" customFormat="false" ht="12.8" hidden="false" customHeight="false" outlineLevel="0" collapsed="false"/>
    <row r="1046444" customFormat="false" ht="12.8" hidden="false" customHeight="false" outlineLevel="0" collapsed="false"/>
    <row r="1046445" customFormat="false" ht="12.8" hidden="false" customHeight="false" outlineLevel="0" collapsed="false"/>
    <row r="1046446" customFormat="false" ht="12.8" hidden="false" customHeight="false" outlineLevel="0" collapsed="false"/>
    <row r="1046447" customFormat="false" ht="12.8" hidden="false" customHeight="false" outlineLevel="0" collapsed="false"/>
    <row r="1046448" customFormat="false" ht="12.8" hidden="false" customHeight="false" outlineLevel="0" collapsed="false"/>
    <row r="1046449" customFormat="false" ht="12.8" hidden="false" customHeight="false" outlineLevel="0" collapsed="false"/>
    <row r="1046450" customFormat="false" ht="12.8" hidden="false" customHeight="false" outlineLevel="0" collapsed="false"/>
    <row r="1046451" customFormat="false" ht="12.8" hidden="false" customHeight="false" outlineLevel="0" collapsed="false"/>
    <row r="1046452" customFormat="false" ht="12.8" hidden="false" customHeight="false" outlineLevel="0" collapsed="false"/>
    <row r="1046453" customFormat="false" ht="12.8" hidden="false" customHeight="false" outlineLevel="0" collapsed="false"/>
    <row r="1046454" customFormat="false" ht="12.8" hidden="false" customHeight="false" outlineLevel="0" collapsed="false"/>
    <row r="1046455" customFormat="false" ht="12.8" hidden="false" customHeight="false" outlineLevel="0" collapsed="false"/>
    <row r="1046456" customFormat="false" ht="12.8" hidden="false" customHeight="false" outlineLevel="0" collapsed="false"/>
    <row r="1046457" customFormat="false" ht="12.8" hidden="false" customHeight="false" outlineLevel="0" collapsed="false"/>
    <row r="1046458" customFormat="false" ht="12.8" hidden="false" customHeight="false" outlineLevel="0" collapsed="false"/>
    <row r="1046459" customFormat="false" ht="12.8" hidden="false" customHeight="false" outlineLevel="0" collapsed="false"/>
    <row r="1046460" customFormat="false" ht="12.8" hidden="false" customHeight="false" outlineLevel="0" collapsed="false"/>
    <row r="1046461" customFormat="false" ht="12.8" hidden="false" customHeight="false" outlineLevel="0" collapsed="false"/>
    <row r="1046462" customFormat="false" ht="12.8" hidden="false" customHeight="false" outlineLevel="0" collapsed="false"/>
    <row r="1046463" customFormat="false" ht="12.8" hidden="false" customHeight="false" outlineLevel="0" collapsed="false"/>
    <row r="1046464" customFormat="false" ht="12.8" hidden="false" customHeight="false" outlineLevel="0" collapsed="false"/>
    <row r="1046465" customFormat="false" ht="12.8" hidden="false" customHeight="false" outlineLevel="0" collapsed="false"/>
    <row r="1046466" customFormat="false" ht="12.8" hidden="false" customHeight="false" outlineLevel="0" collapsed="false"/>
    <row r="1046467" customFormat="false" ht="12.8" hidden="false" customHeight="false" outlineLevel="0" collapsed="false"/>
    <row r="1046468" customFormat="false" ht="12.8" hidden="false" customHeight="false" outlineLevel="0" collapsed="false"/>
    <row r="1046469" customFormat="false" ht="12.8" hidden="false" customHeight="false" outlineLevel="0" collapsed="false"/>
    <row r="1046470" customFormat="false" ht="12.8" hidden="false" customHeight="false" outlineLevel="0" collapsed="false"/>
    <row r="1046471" customFormat="false" ht="12.8" hidden="false" customHeight="false" outlineLevel="0" collapsed="false"/>
    <row r="1046472" customFormat="false" ht="12.8" hidden="false" customHeight="false" outlineLevel="0" collapsed="false"/>
    <row r="1046473" customFormat="false" ht="12.8" hidden="false" customHeight="false" outlineLevel="0" collapsed="false"/>
    <row r="1046474" customFormat="false" ht="12.8" hidden="false" customHeight="false" outlineLevel="0" collapsed="false"/>
    <row r="1046475" customFormat="false" ht="12.8" hidden="false" customHeight="false" outlineLevel="0" collapsed="false"/>
    <row r="1046476" customFormat="false" ht="12.8" hidden="false" customHeight="false" outlineLevel="0" collapsed="false"/>
    <row r="1046477" customFormat="false" ht="12.8" hidden="false" customHeight="false" outlineLevel="0" collapsed="false"/>
    <row r="1046478" customFormat="false" ht="12.8" hidden="false" customHeight="false" outlineLevel="0" collapsed="false"/>
    <row r="1046479" customFormat="false" ht="12.8" hidden="false" customHeight="false" outlineLevel="0" collapsed="false"/>
    <row r="1046480" customFormat="false" ht="12.8" hidden="false" customHeight="false" outlineLevel="0" collapsed="false"/>
    <row r="1046481" customFormat="false" ht="12.8" hidden="false" customHeight="false" outlineLevel="0" collapsed="false"/>
    <row r="1046482" customFormat="false" ht="12.8" hidden="false" customHeight="false" outlineLevel="0" collapsed="false"/>
    <row r="1046483" customFormat="false" ht="12.8" hidden="false" customHeight="false" outlineLevel="0" collapsed="false"/>
    <row r="1046484" customFormat="false" ht="12.8" hidden="false" customHeight="false" outlineLevel="0" collapsed="false"/>
    <row r="1046485" customFormat="false" ht="12.8" hidden="false" customHeight="false" outlineLevel="0" collapsed="false"/>
    <row r="1046486" customFormat="false" ht="12.8" hidden="false" customHeight="false" outlineLevel="0" collapsed="false"/>
    <row r="1046487" customFormat="false" ht="12.8" hidden="false" customHeight="false" outlineLevel="0" collapsed="false"/>
    <row r="1046488" customFormat="false" ht="12.8" hidden="false" customHeight="false" outlineLevel="0" collapsed="false"/>
    <row r="1046489" customFormat="false" ht="12.8" hidden="false" customHeight="false" outlineLevel="0" collapsed="false"/>
    <row r="1046490" customFormat="false" ht="12.8" hidden="false" customHeight="false" outlineLevel="0" collapsed="false"/>
    <row r="1046491" customFormat="false" ht="12.8" hidden="false" customHeight="false" outlineLevel="0" collapsed="false"/>
    <row r="1046492" customFormat="false" ht="12.8" hidden="false" customHeight="false" outlineLevel="0" collapsed="false"/>
    <row r="1046493" customFormat="false" ht="12.8" hidden="false" customHeight="false" outlineLevel="0" collapsed="false"/>
    <row r="1046494" customFormat="false" ht="12.8" hidden="false" customHeight="false" outlineLevel="0" collapsed="false"/>
    <row r="1046495" customFormat="false" ht="12.8" hidden="false" customHeight="false" outlineLevel="0" collapsed="false"/>
    <row r="1046496" customFormat="false" ht="12.8" hidden="false" customHeight="false" outlineLevel="0" collapsed="false"/>
    <row r="1046497" customFormat="false" ht="12.8" hidden="false" customHeight="false" outlineLevel="0" collapsed="false"/>
    <row r="1046498" customFormat="false" ht="12.8" hidden="false" customHeight="false" outlineLevel="0" collapsed="false"/>
    <row r="1046499" customFormat="false" ht="12.8" hidden="false" customHeight="false" outlineLevel="0" collapsed="false"/>
    <row r="1046500" customFormat="false" ht="12.8" hidden="false" customHeight="false" outlineLevel="0" collapsed="false"/>
    <row r="1046501" customFormat="false" ht="12.8" hidden="false" customHeight="false" outlineLevel="0" collapsed="false"/>
    <row r="1046502" customFormat="false" ht="12.8" hidden="false" customHeight="false" outlineLevel="0" collapsed="false"/>
    <row r="1046503" customFormat="false" ht="12.8" hidden="false" customHeight="false" outlineLevel="0" collapsed="false"/>
    <row r="1046504" customFormat="false" ht="12.8" hidden="false" customHeight="false" outlineLevel="0" collapsed="false"/>
    <row r="1046505" customFormat="false" ht="12.8" hidden="false" customHeight="false" outlineLevel="0" collapsed="false"/>
    <row r="1046506" customFormat="false" ht="12.8" hidden="false" customHeight="false" outlineLevel="0" collapsed="false"/>
    <row r="1046507" customFormat="false" ht="12.8" hidden="false" customHeight="false" outlineLevel="0" collapsed="false"/>
    <row r="1046508" customFormat="false" ht="12.8" hidden="false" customHeight="false" outlineLevel="0" collapsed="false"/>
    <row r="1046509" customFormat="false" ht="12.8" hidden="false" customHeight="false" outlineLevel="0" collapsed="false"/>
    <row r="1046510" customFormat="false" ht="12.8" hidden="false" customHeight="false" outlineLevel="0" collapsed="false"/>
    <row r="1046511" customFormat="false" ht="12.8" hidden="false" customHeight="false" outlineLevel="0" collapsed="false"/>
    <row r="1046512" customFormat="false" ht="12.8" hidden="false" customHeight="false" outlineLevel="0" collapsed="false"/>
    <row r="1046513" customFormat="false" ht="12.8" hidden="false" customHeight="false" outlineLevel="0" collapsed="false"/>
    <row r="1046514" customFormat="false" ht="12.8" hidden="false" customHeight="false" outlineLevel="0" collapsed="false"/>
    <row r="1046515" customFormat="false" ht="12.8" hidden="false" customHeight="false" outlineLevel="0" collapsed="false"/>
    <row r="1046516" customFormat="false" ht="12.8" hidden="false" customHeight="false" outlineLevel="0" collapsed="false"/>
    <row r="1046517" customFormat="false" ht="12.8" hidden="false" customHeight="false" outlineLevel="0" collapsed="false"/>
    <row r="1046518" customFormat="false" ht="12.8" hidden="false" customHeight="false" outlineLevel="0" collapsed="false"/>
    <row r="1046519" customFormat="false" ht="12.8" hidden="false" customHeight="false" outlineLevel="0" collapsed="false"/>
    <row r="1046520" customFormat="false" ht="12.8" hidden="false" customHeight="false" outlineLevel="0" collapsed="false"/>
    <row r="1046521" customFormat="false" ht="12.8" hidden="false" customHeight="false" outlineLevel="0" collapsed="false"/>
    <row r="1046522" customFormat="false" ht="12.8" hidden="false" customHeight="false" outlineLevel="0" collapsed="false"/>
    <row r="1046523" customFormat="false" ht="12.8" hidden="false" customHeight="false" outlineLevel="0" collapsed="false"/>
    <row r="1046524" customFormat="false" ht="12.8" hidden="false" customHeight="false" outlineLevel="0" collapsed="false"/>
    <row r="1046525" customFormat="false" ht="12.8" hidden="false" customHeight="false" outlineLevel="0" collapsed="false"/>
    <row r="1046526" customFormat="false" ht="12.8" hidden="false" customHeight="false" outlineLevel="0" collapsed="false"/>
    <row r="1046527" customFormat="false" ht="12.8" hidden="false" customHeight="false" outlineLevel="0" collapsed="false"/>
    <row r="1046528" customFormat="false" ht="12.8" hidden="false" customHeight="false" outlineLevel="0" collapsed="false"/>
    <row r="1046529" customFormat="false" ht="12.8" hidden="false" customHeight="false" outlineLevel="0" collapsed="false"/>
    <row r="1046530" customFormat="false" ht="12.8" hidden="false" customHeight="false" outlineLevel="0" collapsed="false"/>
    <row r="1046531" customFormat="false" ht="12.8" hidden="false" customHeight="false" outlineLevel="0" collapsed="false"/>
    <row r="1046532" customFormat="false" ht="12.8" hidden="false" customHeight="false" outlineLevel="0" collapsed="false"/>
    <row r="1046533" customFormat="false" ht="12.8" hidden="false" customHeight="false" outlineLevel="0" collapsed="false"/>
    <row r="1046534" customFormat="false" ht="12.8" hidden="false" customHeight="false" outlineLevel="0" collapsed="false"/>
    <row r="1046535" customFormat="false" ht="12.8" hidden="false" customHeight="false" outlineLevel="0" collapsed="false"/>
    <row r="1046536" customFormat="false" ht="12.8" hidden="false" customHeight="false" outlineLevel="0" collapsed="false"/>
    <row r="1046537" customFormat="false" ht="12.8" hidden="false" customHeight="false" outlineLevel="0" collapsed="false"/>
    <row r="1046538" customFormat="false" ht="12.8" hidden="false" customHeight="false" outlineLevel="0" collapsed="false"/>
    <row r="1046539" customFormat="false" ht="12.8" hidden="false" customHeight="false" outlineLevel="0" collapsed="false"/>
    <row r="1046540" customFormat="false" ht="12.8" hidden="false" customHeight="false" outlineLevel="0" collapsed="false"/>
    <row r="1046541" customFormat="false" ht="12.8" hidden="false" customHeight="false" outlineLevel="0" collapsed="false"/>
    <row r="1046542" customFormat="false" ht="12.8" hidden="false" customHeight="false" outlineLevel="0" collapsed="false"/>
    <row r="1046543" customFormat="false" ht="12.8" hidden="false" customHeight="false" outlineLevel="0" collapsed="false"/>
    <row r="1046544" customFormat="false" ht="12.8" hidden="false" customHeight="false" outlineLevel="0" collapsed="false"/>
    <row r="1046545" customFormat="false" ht="12.8" hidden="false" customHeight="false" outlineLevel="0" collapsed="false"/>
    <row r="1046546" customFormat="false" ht="12.8" hidden="false" customHeight="false" outlineLevel="0" collapsed="false"/>
    <row r="1046547" customFormat="false" ht="12.8" hidden="false" customHeight="false" outlineLevel="0" collapsed="false"/>
    <row r="1046548" customFormat="false" ht="12.8" hidden="false" customHeight="false" outlineLevel="0" collapsed="false"/>
    <row r="1046549" customFormat="false" ht="12.8" hidden="false" customHeight="false" outlineLevel="0" collapsed="false"/>
    <row r="1046550" customFormat="false" ht="12.8" hidden="false" customHeight="false" outlineLevel="0" collapsed="false"/>
    <row r="1046551" customFormat="false" ht="12.8" hidden="false" customHeight="false" outlineLevel="0" collapsed="false"/>
    <row r="1046552" customFormat="false" ht="12.8" hidden="false" customHeight="false" outlineLevel="0" collapsed="false"/>
    <row r="1046553" customFormat="false" ht="12.8" hidden="false" customHeight="false" outlineLevel="0" collapsed="false"/>
    <row r="1046554" customFormat="false" ht="12.8" hidden="false" customHeight="false" outlineLevel="0" collapsed="false"/>
    <row r="1046555" customFormat="false" ht="12.8" hidden="false" customHeight="false" outlineLevel="0" collapsed="false"/>
    <row r="1046556" customFormat="false" ht="12.8" hidden="false" customHeight="false" outlineLevel="0" collapsed="false"/>
    <row r="1046557" customFormat="false" ht="12.8" hidden="false" customHeight="false" outlineLevel="0" collapsed="false"/>
    <row r="1046558" customFormat="false" ht="12.8" hidden="false" customHeight="false" outlineLevel="0" collapsed="false"/>
    <row r="1046559" customFormat="false" ht="12.8" hidden="false" customHeight="false" outlineLevel="0" collapsed="false"/>
    <row r="1046560" customFormat="false" ht="12.8" hidden="false" customHeight="false" outlineLevel="0" collapsed="false"/>
    <row r="1046561" customFormat="false" ht="12.8" hidden="false" customHeight="false" outlineLevel="0" collapsed="false"/>
    <row r="1046562" customFormat="false" ht="12.8" hidden="false" customHeight="false" outlineLevel="0" collapsed="false"/>
    <row r="1046563" customFormat="false" ht="12.8" hidden="false" customHeight="false" outlineLevel="0" collapsed="false"/>
    <row r="1046564" customFormat="false" ht="12.8" hidden="false" customHeight="false" outlineLevel="0" collapsed="false"/>
    <row r="1046565" customFormat="false" ht="12.8" hidden="false" customHeight="false" outlineLevel="0" collapsed="false"/>
    <row r="1046566" customFormat="false" ht="12.8" hidden="false" customHeight="false" outlineLevel="0" collapsed="false"/>
    <row r="1046567" customFormat="false" ht="12.8" hidden="false" customHeight="false" outlineLevel="0" collapsed="false"/>
    <row r="1046568" customFormat="false" ht="12.8" hidden="false" customHeight="false" outlineLevel="0" collapsed="false"/>
    <row r="1046569" customFormat="false" ht="12.8" hidden="false" customHeight="false" outlineLevel="0" collapsed="false"/>
    <row r="1046570" customFormat="false" ht="12.8" hidden="false" customHeight="false" outlineLevel="0" collapsed="false"/>
    <row r="1046571" customFormat="false" ht="12.8" hidden="false" customHeight="false" outlineLevel="0" collapsed="false"/>
    <row r="1046572" customFormat="false" ht="12.8" hidden="false" customHeight="false" outlineLevel="0" collapsed="false"/>
    <row r="1046573" customFormat="false" ht="12.8" hidden="false" customHeight="false" outlineLevel="0" collapsed="false"/>
    <row r="1046574" customFormat="false" ht="12.8" hidden="false" customHeight="false" outlineLevel="0" collapsed="false"/>
    <row r="1046575" customFormat="false" ht="12.8" hidden="false" customHeight="false" outlineLevel="0" collapsed="false"/>
    <row r="1046576" customFormat="false" ht="12.8" hidden="false" customHeight="false" outlineLevel="0" collapsed="false"/>
    <row r="1046577" customFormat="false" ht="12.8" hidden="false" customHeight="false" outlineLevel="0" collapsed="false"/>
    <row r="1046578" customFormat="false" ht="12.8" hidden="false" customHeight="false" outlineLevel="0" collapsed="false"/>
    <row r="1046579" customFormat="false" ht="12.8" hidden="false" customHeight="false" outlineLevel="0" collapsed="false"/>
    <row r="1046580" customFormat="false" ht="12.8" hidden="false" customHeight="false" outlineLevel="0" collapsed="false"/>
    <row r="1046581" customFormat="false" ht="12.8" hidden="false" customHeight="false" outlineLevel="0" collapsed="false"/>
    <row r="1046582" customFormat="false" ht="12.8" hidden="false" customHeight="false" outlineLevel="0" collapsed="false"/>
    <row r="1046583" customFormat="false" ht="12.8" hidden="false" customHeight="false" outlineLevel="0" collapsed="false"/>
    <row r="1046584" customFormat="false" ht="12.8" hidden="false" customHeight="false" outlineLevel="0" collapsed="false"/>
    <row r="1046585" customFormat="false" ht="12.8" hidden="false" customHeight="false" outlineLevel="0" collapsed="false"/>
    <row r="1046586" customFormat="false" ht="12.8" hidden="false" customHeight="false" outlineLevel="0" collapsed="false"/>
    <row r="1046587" customFormat="false" ht="12.8" hidden="false" customHeight="false" outlineLevel="0" collapsed="false"/>
    <row r="1046588" customFormat="false" ht="12.8" hidden="false" customHeight="false" outlineLevel="0" collapsed="false"/>
    <row r="1046589" customFormat="false" ht="12.8" hidden="false" customHeight="false" outlineLevel="0" collapsed="false"/>
    <row r="1046590" customFormat="false" ht="12.8" hidden="false" customHeight="false" outlineLevel="0" collapsed="false"/>
    <row r="1046591" customFormat="false" ht="12.8" hidden="false" customHeight="false" outlineLevel="0" collapsed="false"/>
    <row r="1046592" customFormat="false" ht="12.8" hidden="false" customHeight="false" outlineLevel="0" collapsed="false"/>
    <row r="1046593" customFormat="false" ht="12.8" hidden="false" customHeight="false" outlineLevel="0" collapsed="false"/>
    <row r="1046594" customFormat="false" ht="12.8" hidden="false" customHeight="false" outlineLevel="0" collapsed="false"/>
    <row r="1046595" customFormat="false" ht="12.8" hidden="false" customHeight="false" outlineLevel="0" collapsed="false"/>
    <row r="1046596" customFormat="false" ht="12.8" hidden="false" customHeight="false" outlineLevel="0" collapsed="false"/>
    <row r="1046597" customFormat="false" ht="12.8" hidden="false" customHeight="false" outlineLevel="0" collapsed="false"/>
    <row r="1046598" customFormat="false" ht="12.8" hidden="false" customHeight="false" outlineLevel="0" collapsed="false"/>
    <row r="1046599" customFormat="false" ht="12.8" hidden="false" customHeight="false" outlineLevel="0" collapsed="false"/>
    <row r="1046600" customFormat="false" ht="12.8" hidden="false" customHeight="false" outlineLevel="0" collapsed="false"/>
    <row r="1046601" customFormat="false" ht="12.8" hidden="false" customHeight="false" outlineLevel="0" collapsed="false"/>
    <row r="1046602" customFormat="false" ht="12.8" hidden="false" customHeight="false" outlineLevel="0" collapsed="false"/>
    <row r="1046603" customFormat="false" ht="12.8" hidden="false" customHeight="false" outlineLevel="0" collapsed="false"/>
    <row r="1046604" customFormat="false" ht="12.8" hidden="false" customHeight="false" outlineLevel="0" collapsed="false"/>
    <row r="1046605" customFormat="false" ht="12.8" hidden="false" customHeight="false" outlineLevel="0" collapsed="false"/>
    <row r="1046606" customFormat="false" ht="12.8" hidden="false" customHeight="false" outlineLevel="0" collapsed="false"/>
    <row r="1046607" customFormat="false" ht="12.8" hidden="false" customHeight="false" outlineLevel="0" collapsed="false"/>
    <row r="1046608" customFormat="false" ht="12.8" hidden="false" customHeight="false" outlineLevel="0" collapsed="false"/>
    <row r="1046609" customFormat="false" ht="12.8" hidden="false" customHeight="false" outlineLevel="0" collapsed="false"/>
    <row r="1046610" customFormat="false" ht="12.8" hidden="false" customHeight="false" outlineLevel="0" collapsed="false"/>
    <row r="1046611" customFormat="false" ht="12.8" hidden="false" customHeight="false" outlineLevel="0" collapsed="false"/>
    <row r="1046612" customFormat="false" ht="12.8" hidden="false" customHeight="false" outlineLevel="0" collapsed="false"/>
    <row r="1046613" customFormat="false" ht="12.8" hidden="false" customHeight="false" outlineLevel="0" collapsed="false"/>
    <row r="1046614" customFormat="false" ht="12.8" hidden="false" customHeight="false" outlineLevel="0" collapsed="false"/>
    <row r="1046615" customFormat="false" ht="12.8" hidden="false" customHeight="false" outlineLevel="0" collapsed="false"/>
    <row r="1046616" customFormat="false" ht="12.8" hidden="false" customHeight="false" outlineLevel="0" collapsed="false"/>
    <row r="1046617" customFormat="false" ht="12.8" hidden="false" customHeight="false" outlineLevel="0" collapsed="false"/>
    <row r="1046618" customFormat="false" ht="12.8" hidden="false" customHeight="false" outlineLevel="0" collapsed="false"/>
    <row r="1046619" customFormat="false" ht="12.8" hidden="false" customHeight="false" outlineLevel="0" collapsed="false"/>
    <row r="1046620" customFormat="false" ht="12.8" hidden="false" customHeight="false" outlineLevel="0" collapsed="false"/>
    <row r="1046621" customFormat="false" ht="12.8" hidden="false" customHeight="false" outlineLevel="0" collapsed="false"/>
    <row r="1046622" customFormat="false" ht="12.8" hidden="false" customHeight="false" outlineLevel="0" collapsed="false"/>
    <row r="1046623" customFormat="false" ht="12.8" hidden="false" customHeight="false" outlineLevel="0" collapsed="false"/>
    <row r="1046624" customFormat="false" ht="12.8" hidden="false" customHeight="false" outlineLevel="0" collapsed="false"/>
    <row r="1046625" customFormat="false" ht="12.8" hidden="false" customHeight="false" outlineLevel="0" collapsed="false"/>
    <row r="1046626" customFormat="false" ht="12.8" hidden="false" customHeight="false" outlineLevel="0" collapsed="false"/>
    <row r="1046627" customFormat="false" ht="12.8" hidden="false" customHeight="false" outlineLevel="0" collapsed="false"/>
    <row r="1046628" customFormat="false" ht="12.8" hidden="false" customHeight="false" outlineLevel="0" collapsed="false"/>
    <row r="1046629" customFormat="false" ht="12.8" hidden="false" customHeight="false" outlineLevel="0" collapsed="false"/>
    <row r="1046630" customFormat="false" ht="12.8" hidden="false" customHeight="false" outlineLevel="0" collapsed="false"/>
    <row r="1046631" customFormat="false" ht="12.8" hidden="false" customHeight="false" outlineLevel="0" collapsed="false"/>
    <row r="1046632" customFormat="false" ht="12.8" hidden="false" customHeight="false" outlineLevel="0" collapsed="false"/>
    <row r="1046633" customFormat="false" ht="12.8" hidden="false" customHeight="false" outlineLevel="0" collapsed="false"/>
    <row r="1046634" customFormat="false" ht="12.8" hidden="false" customHeight="false" outlineLevel="0" collapsed="false"/>
    <row r="1046635" customFormat="false" ht="12.8" hidden="false" customHeight="false" outlineLevel="0" collapsed="false"/>
    <row r="1046636" customFormat="false" ht="12.8" hidden="false" customHeight="false" outlineLevel="0" collapsed="false"/>
    <row r="1046637" customFormat="false" ht="12.8" hidden="false" customHeight="false" outlineLevel="0" collapsed="false"/>
    <row r="1046638" customFormat="false" ht="12.8" hidden="false" customHeight="false" outlineLevel="0" collapsed="false"/>
    <row r="1046639" customFormat="false" ht="12.8" hidden="false" customHeight="false" outlineLevel="0" collapsed="false"/>
    <row r="1046640" customFormat="false" ht="12.8" hidden="false" customHeight="false" outlineLevel="0" collapsed="false"/>
    <row r="1046641" customFormat="false" ht="12.8" hidden="false" customHeight="false" outlineLevel="0" collapsed="false"/>
    <row r="1046642" customFormat="false" ht="12.8" hidden="false" customHeight="false" outlineLevel="0" collapsed="false"/>
    <row r="1046643" customFormat="false" ht="12.8" hidden="false" customHeight="false" outlineLevel="0" collapsed="false"/>
    <row r="1046644" customFormat="false" ht="12.8" hidden="false" customHeight="false" outlineLevel="0" collapsed="false"/>
    <row r="1046645" customFormat="false" ht="12.8" hidden="false" customHeight="false" outlineLevel="0" collapsed="false"/>
    <row r="1046646" customFormat="false" ht="12.8" hidden="false" customHeight="false" outlineLevel="0" collapsed="false"/>
    <row r="1046647" customFormat="false" ht="12.8" hidden="false" customHeight="false" outlineLevel="0" collapsed="false"/>
    <row r="1046648" customFormat="false" ht="12.8" hidden="false" customHeight="false" outlineLevel="0" collapsed="false"/>
    <row r="1046649" customFormat="false" ht="12.8" hidden="false" customHeight="false" outlineLevel="0" collapsed="false"/>
    <row r="1046650" customFormat="false" ht="12.8" hidden="false" customHeight="false" outlineLevel="0" collapsed="false"/>
    <row r="1046651" customFormat="false" ht="12.8" hidden="false" customHeight="false" outlineLevel="0" collapsed="false"/>
    <row r="1046652" customFormat="false" ht="12.8" hidden="false" customHeight="false" outlineLevel="0" collapsed="false"/>
    <row r="1046653" customFormat="false" ht="12.8" hidden="false" customHeight="false" outlineLevel="0" collapsed="false"/>
    <row r="1046654" customFormat="false" ht="12.8" hidden="false" customHeight="false" outlineLevel="0" collapsed="false"/>
    <row r="1046655" customFormat="false" ht="12.8" hidden="false" customHeight="false" outlineLevel="0" collapsed="false"/>
    <row r="1046656" customFormat="false" ht="12.8" hidden="false" customHeight="false" outlineLevel="0" collapsed="false"/>
    <row r="1046657" customFormat="false" ht="12.8" hidden="false" customHeight="false" outlineLevel="0" collapsed="false"/>
    <row r="1046658" customFormat="false" ht="12.8" hidden="false" customHeight="false" outlineLevel="0" collapsed="false"/>
    <row r="1046659" customFormat="false" ht="12.8" hidden="false" customHeight="false" outlineLevel="0" collapsed="false"/>
    <row r="1046660" customFormat="false" ht="12.8" hidden="false" customHeight="false" outlineLevel="0" collapsed="false"/>
    <row r="1046661" customFormat="false" ht="12.8" hidden="false" customHeight="false" outlineLevel="0" collapsed="false"/>
    <row r="1046662" customFormat="false" ht="12.8" hidden="false" customHeight="false" outlineLevel="0" collapsed="false"/>
    <row r="1046663" customFormat="false" ht="12.8" hidden="false" customHeight="false" outlineLevel="0" collapsed="false"/>
    <row r="1046664" customFormat="false" ht="12.8" hidden="false" customHeight="false" outlineLevel="0" collapsed="false"/>
    <row r="1046665" customFormat="false" ht="12.8" hidden="false" customHeight="false" outlineLevel="0" collapsed="false"/>
    <row r="1046666" customFormat="false" ht="12.8" hidden="false" customHeight="false" outlineLevel="0" collapsed="false"/>
    <row r="1046667" customFormat="false" ht="12.8" hidden="false" customHeight="false" outlineLevel="0" collapsed="false"/>
    <row r="1046668" customFormat="false" ht="12.8" hidden="false" customHeight="false" outlineLevel="0" collapsed="false"/>
    <row r="1046669" customFormat="false" ht="12.8" hidden="false" customHeight="false" outlineLevel="0" collapsed="false"/>
    <row r="1046670" customFormat="false" ht="12.8" hidden="false" customHeight="false" outlineLevel="0" collapsed="false"/>
    <row r="1046671" customFormat="false" ht="12.8" hidden="false" customHeight="false" outlineLevel="0" collapsed="false"/>
    <row r="1046672" customFormat="false" ht="12.8" hidden="false" customHeight="false" outlineLevel="0" collapsed="false"/>
    <row r="1046673" customFormat="false" ht="12.8" hidden="false" customHeight="false" outlineLevel="0" collapsed="false"/>
    <row r="1046674" customFormat="false" ht="12.8" hidden="false" customHeight="false" outlineLevel="0" collapsed="false"/>
    <row r="1046675" customFormat="false" ht="12.8" hidden="false" customHeight="false" outlineLevel="0" collapsed="false"/>
    <row r="1046676" customFormat="false" ht="12.8" hidden="false" customHeight="false" outlineLevel="0" collapsed="false"/>
    <row r="1046677" customFormat="false" ht="12.8" hidden="false" customHeight="false" outlineLevel="0" collapsed="false"/>
    <row r="1046678" customFormat="false" ht="12.8" hidden="false" customHeight="false" outlineLevel="0" collapsed="false"/>
    <row r="1046679" customFormat="false" ht="12.8" hidden="false" customHeight="false" outlineLevel="0" collapsed="false"/>
    <row r="1046680" customFormat="false" ht="12.8" hidden="false" customHeight="false" outlineLevel="0" collapsed="false"/>
    <row r="1046681" customFormat="false" ht="12.8" hidden="false" customHeight="false" outlineLevel="0" collapsed="false"/>
    <row r="1046682" customFormat="false" ht="12.8" hidden="false" customHeight="false" outlineLevel="0" collapsed="false"/>
    <row r="1046683" customFormat="false" ht="12.8" hidden="false" customHeight="false" outlineLevel="0" collapsed="false"/>
    <row r="1046684" customFormat="false" ht="12.8" hidden="false" customHeight="false" outlineLevel="0" collapsed="false"/>
    <row r="1046685" customFormat="false" ht="12.8" hidden="false" customHeight="false" outlineLevel="0" collapsed="false"/>
    <row r="1046686" customFormat="false" ht="12.8" hidden="false" customHeight="false" outlineLevel="0" collapsed="false"/>
    <row r="1046687" customFormat="false" ht="12.8" hidden="false" customHeight="false" outlineLevel="0" collapsed="false"/>
    <row r="1046688" customFormat="false" ht="12.8" hidden="false" customHeight="false" outlineLevel="0" collapsed="false"/>
    <row r="1046689" customFormat="false" ht="12.8" hidden="false" customHeight="false" outlineLevel="0" collapsed="false"/>
    <row r="1046690" customFormat="false" ht="12.8" hidden="false" customHeight="false" outlineLevel="0" collapsed="false"/>
    <row r="1046691" customFormat="false" ht="12.8" hidden="false" customHeight="false" outlineLevel="0" collapsed="false"/>
    <row r="1046692" customFormat="false" ht="12.8" hidden="false" customHeight="false" outlineLevel="0" collapsed="false"/>
    <row r="1046693" customFormat="false" ht="12.8" hidden="false" customHeight="false" outlineLevel="0" collapsed="false"/>
    <row r="1046694" customFormat="false" ht="12.8" hidden="false" customHeight="false" outlineLevel="0" collapsed="false"/>
    <row r="1046695" customFormat="false" ht="12.8" hidden="false" customHeight="false" outlineLevel="0" collapsed="false"/>
    <row r="1046696" customFormat="false" ht="12.8" hidden="false" customHeight="false" outlineLevel="0" collapsed="false"/>
    <row r="1046697" customFormat="false" ht="12.8" hidden="false" customHeight="false" outlineLevel="0" collapsed="false"/>
    <row r="1046698" customFormat="false" ht="12.8" hidden="false" customHeight="false" outlineLevel="0" collapsed="false"/>
    <row r="1046699" customFormat="false" ht="12.8" hidden="false" customHeight="false" outlineLevel="0" collapsed="false"/>
    <row r="1046700" customFormat="false" ht="12.8" hidden="false" customHeight="false" outlineLevel="0" collapsed="false"/>
    <row r="1046701" customFormat="false" ht="12.8" hidden="false" customHeight="false" outlineLevel="0" collapsed="false"/>
    <row r="1046702" customFormat="false" ht="12.8" hidden="false" customHeight="false" outlineLevel="0" collapsed="false"/>
    <row r="1046703" customFormat="false" ht="12.8" hidden="false" customHeight="false" outlineLevel="0" collapsed="false"/>
    <row r="1046704" customFormat="false" ht="12.8" hidden="false" customHeight="false" outlineLevel="0" collapsed="false"/>
    <row r="1046705" customFormat="false" ht="12.8" hidden="false" customHeight="false" outlineLevel="0" collapsed="false"/>
    <row r="1046706" customFormat="false" ht="12.8" hidden="false" customHeight="false" outlineLevel="0" collapsed="false"/>
    <row r="1046707" customFormat="false" ht="12.8" hidden="false" customHeight="false" outlineLevel="0" collapsed="false"/>
    <row r="1046708" customFormat="false" ht="12.8" hidden="false" customHeight="false" outlineLevel="0" collapsed="false"/>
    <row r="1046709" customFormat="false" ht="12.8" hidden="false" customHeight="false" outlineLevel="0" collapsed="false"/>
    <row r="1046710" customFormat="false" ht="12.8" hidden="false" customHeight="false" outlineLevel="0" collapsed="false"/>
    <row r="1046711" customFormat="false" ht="12.8" hidden="false" customHeight="false" outlineLevel="0" collapsed="false"/>
    <row r="1046712" customFormat="false" ht="12.8" hidden="false" customHeight="false" outlineLevel="0" collapsed="false"/>
    <row r="1046713" customFormat="false" ht="12.8" hidden="false" customHeight="false" outlineLevel="0" collapsed="false"/>
    <row r="1046714" customFormat="false" ht="12.8" hidden="false" customHeight="false" outlineLevel="0" collapsed="false"/>
    <row r="1046715" customFormat="false" ht="12.8" hidden="false" customHeight="false" outlineLevel="0" collapsed="false"/>
    <row r="1046716" customFormat="false" ht="12.8" hidden="false" customHeight="false" outlineLevel="0" collapsed="false"/>
    <row r="1046717" customFormat="false" ht="12.8" hidden="false" customHeight="false" outlineLevel="0" collapsed="false"/>
    <row r="1046718" customFormat="false" ht="12.8" hidden="false" customHeight="false" outlineLevel="0" collapsed="false"/>
    <row r="1046719" customFormat="false" ht="12.8" hidden="false" customHeight="false" outlineLevel="0" collapsed="false"/>
    <row r="1046720" customFormat="false" ht="12.8" hidden="false" customHeight="false" outlineLevel="0" collapsed="false"/>
    <row r="1046721" customFormat="false" ht="12.8" hidden="false" customHeight="false" outlineLevel="0" collapsed="false"/>
    <row r="1046722" customFormat="false" ht="12.8" hidden="false" customHeight="false" outlineLevel="0" collapsed="false"/>
    <row r="1046723" customFormat="false" ht="12.8" hidden="false" customHeight="false" outlineLevel="0" collapsed="false"/>
    <row r="1046724" customFormat="false" ht="12.8" hidden="false" customHeight="false" outlineLevel="0" collapsed="false"/>
    <row r="1046725" customFormat="false" ht="12.8" hidden="false" customHeight="false" outlineLevel="0" collapsed="false"/>
    <row r="1046726" customFormat="false" ht="12.8" hidden="false" customHeight="false" outlineLevel="0" collapsed="false"/>
    <row r="1046727" customFormat="false" ht="12.8" hidden="false" customHeight="false" outlineLevel="0" collapsed="false"/>
    <row r="1046728" customFormat="false" ht="12.8" hidden="false" customHeight="false" outlineLevel="0" collapsed="false"/>
    <row r="1046729" customFormat="false" ht="12.8" hidden="false" customHeight="false" outlineLevel="0" collapsed="false"/>
    <row r="1046730" customFormat="false" ht="12.8" hidden="false" customHeight="false" outlineLevel="0" collapsed="false"/>
    <row r="1046731" customFormat="false" ht="12.8" hidden="false" customHeight="false" outlineLevel="0" collapsed="false"/>
    <row r="1046732" customFormat="false" ht="12.8" hidden="false" customHeight="false" outlineLevel="0" collapsed="false"/>
    <row r="1046733" customFormat="false" ht="12.8" hidden="false" customHeight="false" outlineLevel="0" collapsed="false"/>
    <row r="1046734" customFormat="false" ht="12.8" hidden="false" customHeight="false" outlineLevel="0" collapsed="false"/>
    <row r="1046735" customFormat="false" ht="12.8" hidden="false" customHeight="false" outlineLevel="0" collapsed="false"/>
    <row r="1046736" customFormat="false" ht="12.8" hidden="false" customHeight="false" outlineLevel="0" collapsed="false"/>
    <row r="1046737" customFormat="false" ht="12.8" hidden="false" customHeight="false" outlineLevel="0" collapsed="false"/>
    <row r="1046738" customFormat="false" ht="12.8" hidden="false" customHeight="false" outlineLevel="0" collapsed="false"/>
    <row r="1046739" customFormat="false" ht="12.8" hidden="false" customHeight="false" outlineLevel="0" collapsed="false"/>
    <row r="1046740" customFormat="false" ht="12.8" hidden="false" customHeight="false" outlineLevel="0" collapsed="false"/>
    <row r="1046741" customFormat="false" ht="12.8" hidden="false" customHeight="false" outlineLevel="0" collapsed="false"/>
    <row r="1046742" customFormat="false" ht="12.8" hidden="false" customHeight="false" outlineLevel="0" collapsed="false"/>
    <row r="1046743" customFormat="false" ht="12.8" hidden="false" customHeight="false" outlineLevel="0" collapsed="false"/>
    <row r="1046744" customFormat="false" ht="12.8" hidden="false" customHeight="false" outlineLevel="0" collapsed="false"/>
    <row r="1046745" customFormat="false" ht="12.8" hidden="false" customHeight="false" outlineLevel="0" collapsed="false"/>
    <row r="1046746" customFormat="false" ht="12.8" hidden="false" customHeight="false" outlineLevel="0" collapsed="false"/>
    <row r="1046747" customFormat="false" ht="12.8" hidden="false" customHeight="false" outlineLevel="0" collapsed="false"/>
    <row r="1046748" customFormat="false" ht="12.8" hidden="false" customHeight="false" outlineLevel="0" collapsed="false"/>
    <row r="1046749" customFormat="false" ht="12.8" hidden="false" customHeight="false" outlineLevel="0" collapsed="false"/>
    <row r="1046750" customFormat="false" ht="12.8" hidden="false" customHeight="false" outlineLevel="0" collapsed="false"/>
    <row r="1046751" customFormat="false" ht="12.8" hidden="false" customHeight="false" outlineLevel="0" collapsed="false"/>
    <row r="1046752" customFormat="false" ht="12.8" hidden="false" customHeight="false" outlineLevel="0" collapsed="false"/>
    <row r="1046753" customFormat="false" ht="12.8" hidden="false" customHeight="false" outlineLevel="0" collapsed="false"/>
    <row r="1046754" customFormat="false" ht="12.8" hidden="false" customHeight="false" outlineLevel="0" collapsed="false"/>
    <row r="1046755" customFormat="false" ht="12.8" hidden="false" customHeight="false" outlineLevel="0" collapsed="false"/>
    <row r="1046756" customFormat="false" ht="12.8" hidden="false" customHeight="false" outlineLevel="0" collapsed="false"/>
    <row r="1046757" customFormat="false" ht="12.8" hidden="false" customHeight="false" outlineLevel="0" collapsed="false"/>
    <row r="1046758" customFormat="false" ht="12.8" hidden="false" customHeight="false" outlineLevel="0" collapsed="false"/>
    <row r="1046759" customFormat="false" ht="12.8" hidden="false" customHeight="false" outlineLevel="0" collapsed="false"/>
    <row r="1046760" customFormat="false" ht="12.8" hidden="false" customHeight="false" outlineLevel="0" collapsed="false"/>
    <row r="1046761" customFormat="false" ht="12.8" hidden="false" customHeight="false" outlineLevel="0" collapsed="false"/>
    <row r="1046762" customFormat="false" ht="12.8" hidden="false" customHeight="false" outlineLevel="0" collapsed="false"/>
    <row r="1046763" customFormat="false" ht="12.8" hidden="false" customHeight="false" outlineLevel="0" collapsed="false"/>
    <row r="1046764" customFormat="false" ht="12.8" hidden="false" customHeight="false" outlineLevel="0" collapsed="false"/>
    <row r="1046765" customFormat="false" ht="12.8" hidden="false" customHeight="false" outlineLevel="0" collapsed="false"/>
    <row r="1046766" customFormat="false" ht="12.8" hidden="false" customHeight="false" outlineLevel="0" collapsed="false"/>
    <row r="1046767" customFormat="false" ht="12.8" hidden="false" customHeight="false" outlineLevel="0" collapsed="false"/>
    <row r="1046768" customFormat="false" ht="12.8" hidden="false" customHeight="false" outlineLevel="0" collapsed="false"/>
    <row r="1046769" customFormat="false" ht="12.8" hidden="false" customHeight="false" outlineLevel="0" collapsed="false"/>
    <row r="1046770" customFormat="false" ht="12.8" hidden="false" customHeight="false" outlineLevel="0" collapsed="false"/>
    <row r="1046771" customFormat="false" ht="12.8" hidden="false" customHeight="false" outlineLevel="0" collapsed="false"/>
    <row r="1046772" customFormat="false" ht="12.8" hidden="false" customHeight="false" outlineLevel="0" collapsed="false"/>
    <row r="1046773" customFormat="false" ht="12.8" hidden="false" customHeight="false" outlineLevel="0" collapsed="false"/>
    <row r="1046774" customFormat="false" ht="12.8" hidden="false" customHeight="false" outlineLevel="0" collapsed="false"/>
    <row r="1046775" customFormat="false" ht="12.8" hidden="false" customHeight="false" outlineLevel="0" collapsed="false"/>
    <row r="1046776" customFormat="false" ht="12.8" hidden="false" customHeight="false" outlineLevel="0" collapsed="false"/>
    <row r="1046777" customFormat="false" ht="12.8" hidden="false" customHeight="false" outlineLevel="0" collapsed="false"/>
    <row r="1046778" customFormat="false" ht="12.8" hidden="false" customHeight="false" outlineLevel="0" collapsed="false"/>
    <row r="1046779" customFormat="false" ht="12.8" hidden="false" customHeight="false" outlineLevel="0" collapsed="false"/>
    <row r="1046780" customFormat="false" ht="12.8" hidden="false" customHeight="false" outlineLevel="0" collapsed="false"/>
    <row r="1046781" customFormat="false" ht="12.8" hidden="false" customHeight="false" outlineLevel="0" collapsed="false"/>
    <row r="1046782" customFormat="false" ht="12.8" hidden="false" customHeight="false" outlineLevel="0" collapsed="false"/>
    <row r="1046783" customFormat="false" ht="12.8" hidden="false" customHeight="false" outlineLevel="0" collapsed="false"/>
    <row r="1046784" customFormat="false" ht="12.8" hidden="false" customHeight="false" outlineLevel="0" collapsed="false"/>
    <row r="1046785" customFormat="false" ht="12.8" hidden="false" customHeight="false" outlineLevel="0" collapsed="false"/>
    <row r="1046786" customFormat="false" ht="12.8" hidden="false" customHeight="false" outlineLevel="0" collapsed="false"/>
    <row r="1046787" customFormat="false" ht="12.8" hidden="false" customHeight="false" outlineLevel="0" collapsed="false"/>
    <row r="1046788" customFormat="false" ht="12.8" hidden="false" customHeight="false" outlineLevel="0" collapsed="false"/>
    <row r="1046789" customFormat="false" ht="12.8" hidden="false" customHeight="false" outlineLevel="0" collapsed="false"/>
    <row r="1046790" customFormat="false" ht="12.8" hidden="false" customHeight="false" outlineLevel="0" collapsed="false"/>
    <row r="1046791" customFormat="false" ht="12.8" hidden="false" customHeight="false" outlineLevel="0" collapsed="false"/>
    <row r="1046792" customFormat="false" ht="12.8" hidden="false" customHeight="false" outlineLevel="0" collapsed="false"/>
    <row r="1046793" customFormat="false" ht="12.8" hidden="false" customHeight="false" outlineLevel="0" collapsed="false"/>
    <row r="1046794" customFormat="false" ht="12.8" hidden="false" customHeight="false" outlineLevel="0" collapsed="false"/>
    <row r="1046795" customFormat="false" ht="12.8" hidden="false" customHeight="false" outlineLevel="0" collapsed="false"/>
    <row r="1046796" customFormat="false" ht="12.8" hidden="false" customHeight="false" outlineLevel="0" collapsed="false"/>
    <row r="1046797" customFormat="false" ht="12.8" hidden="false" customHeight="false" outlineLevel="0" collapsed="false"/>
    <row r="1046798" customFormat="false" ht="12.8" hidden="false" customHeight="false" outlineLevel="0" collapsed="false"/>
    <row r="1046799" customFormat="false" ht="12.8" hidden="false" customHeight="false" outlineLevel="0" collapsed="false"/>
    <row r="1046800" customFormat="false" ht="12.8" hidden="false" customHeight="false" outlineLevel="0" collapsed="false"/>
    <row r="1046801" customFormat="false" ht="12.8" hidden="false" customHeight="false" outlineLevel="0" collapsed="false"/>
    <row r="1046802" customFormat="false" ht="12.8" hidden="false" customHeight="false" outlineLevel="0" collapsed="false"/>
    <row r="1046803" customFormat="false" ht="12.8" hidden="false" customHeight="false" outlineLevel="0" collapsed="false"/>
    <row r="1046804" customFormat="false" ht="12.8" hidden="false" customHeight="false" outlineLevel="0" collapsed="false"/>
    <row r="1046805" customFormat="false" ht="12.8" hidden="false" customHeight="false" outlineLevel="0" collapsed="false"/>
    <row r="1046806" customFormat="false" ht="12.8" hidden="false" customHeight="false" outlineLevel="0" collapsed="false"/>
    <row r="1046807" customFormat="false" ht="12.8" hidden="false" customHeight="false" outlineLevel="0" collapsed="false"/>
    <row r="1046808" customFormat="false" ht="12.8" hidden="false" customHeight="false" outlineLevel="0" collapsed="false"/>
    <row r="1046809" customFormat="false" ht="12.8" hidden="false" customHeight="false" outlineLevel="0" collapsed="false"/>
    <row r="1046810" customFormat="false" ht="12.8" hidden="false" customHeight="false" outlineLevel="0" collapsed="false"/>
    <row r="1046811" customFormat="false" ht="12.8" hidden="false" customHeight="false" outlineLevel="0" collapsed="false"/>
    <row r="1046812" customFormat="false" ht="12.8" hidden="false" customHeight="false" outlineLevel="0" collapsed="false"/>
    <row r="1046813" customFormat="false" ht="12.8" hidden="false" customHeight="false" outlineLevel="0" collapsed="false"/>
    <row r="1046814" customFormat="false" ht="12.8" hidden="false" customHeight="false" outlineLevel="0" collapsed="false"/>
    <row r="1046815" customFormat="false" ht="12.8" hidden="false" customHeight="false" outlineLevel="0" collapsed="false"/>
    <row r="1046816" customFormat="false" ht="12.8" hidden="false" customHeight="false" outlineLevel="0" collapsed="false"/>
    <row r="1046817" customFormat="false" ht="12.8" hidden="false" customHeight="false" outlineLevel="0" collapsed="false"/>
    <row r="1046818" customFormat="false" ht="12.8" hidden="false" customHeight="false" outlineLevel="0" collapsed="false"/>
    <row r="1046819" customFormat="false" ht="12.8" hidden="false" customHeight="false" outlineLevel="0" collapsed="false"/>
    <row r="1046820" customFormat="false" ht="12.8" hidden="false" customHeight="false" outlineLevel="0" collapsed="false"/>
    <row r="1046821" customFormat="false" ht="12.8" hidden="false" customHeight="false" outlineLevel="0" collapsed="false"/>
    <row r="1046822" customFormat="false" ht="12.8" hidden="false" customHeight="false" outlineLevel="0" collapsed="false"/>
    <row r="1046823" customFormat="false" ht="12.8" hidden="false" customHeight="false" outlineLevel="0" collapsed="false"/>
    <row r="1046824" customFormat="false" ht="12.8" hidden="false" customHeight="false" outlineLevel="0" collapsed="false"/>
    <row r="1046825" customFormat="false" ht="12.8" hidden="false" customHeight="false" outlineLevel="0" collapsed="false"/>
    <row r="1046826" customFormat="false" ht="12.8" hidden="false" customHeight="false" outlineLevel="0" collapsed="false"/>
    <row r="1046827" customFormat="false" ht="12.8" hidden="false" customHeight="false" outlineLevel="0" collapsed="false"/>
    <row r="1046828" customFormat="false" ht="12.8" hidden="false" customHeight="false" outlineLevel="0" collapsed="false"/>
    <row r="1046829" customFormat="false" ht="12.8" hidden="false" customHeight="false" outlineLevel="0" collapsed="false"/>
    <row r="1046830" customFormat="false" ht="12.8" hidden="false" customHeight="false" outlineLevel="0" collapsed="false"/>
    <row r="1046831" customFormat="false" ht="12.8" hidden="false" customHeight="false" outlineLevel="0" collapsed="false"/>
    <row r="1046832" customFormat="false" ht="12.8" hidden="false" customHeight="false" outlineLevel="0" collapsed="false"/>
    <row r="1046833" customFormat="false" ht="12.8" hidden="false" customHeight="false" outlineLevel="0" collapsed="false"/>
    <row r="1046834" customFormat="false" ht="12.8" hidden="false" customHeight="false" outlineLevel="0" collapsed="false"/>
    <row r="1046835" customFormat="false" ht="12.8" hidden="false" customHeight="false" outlineLevel="0" collapsed="false"/>
    <row r="1046836" customFormat="false" ht="12.8" hidden="false" customHeight="false" outlineLevel="0" collapsed="false"/>
    <row r="1046837" customFormat="false" ht="12.8" hidden="false" customHeight="false" outlineLevel="0" collapsed="false"/>
    <row r="1046838" customFormat="false" ht="12.8" hidden="false" customHeight="false" outlineLevel="0" collapsed="false"/>
    <row r="1046839" customFormat="false" ht="12.8" hidden="false" customHeight="false" outlineLevel="0" collapsed="false"/>
    <row r="1046840" customFormat="false" ht="12.8" hidden="false" customHeight="false" outlineLevel="0" collapsed="false"/>
    <row r="1046841" customFormat="false" ht="12.8" hidden="false" customHeight="false" outlineLevel="0" collapsed="false"/>
    <row r="1046842" customFormat="false" ht="12.8" hidden="false" customHeight="false" outlineLevel="0" collapsed="false"/>
    <row r="1046843" customFormat="false" ht="12.8" hidden="false" customHeight="false" outlineLevel="0" collapsed="false"/>
    <row r="1046844" customFormat="false" ht="12.8" hidden="false" customHeight="false" outlineLevel="0" collapsed="false"/>
    <row r="1046845" customFormat="false" ht="12.8" hidden="false" customHeight="false" outlineLevel="0" collapsed="false"/>
    <row r="1046846" customFormat="false" ht="12.8" hidden="false" customHeight="false" outlineLevel="0" collapsed="false"/>
    <row r="1046847" customFormat="false" ht="12.8" hidden="false" customHeight="false" outlineLevel="0" collapsed="false"/>
    <row r="1046848" customFormat="false" ht="12.8" hidden="false" customHeight="false" outlineLevel="0" collapsed="false"/>
    <row r="1046849" customFormat="false" ht="12.8" hidden="false" customHeight="false" outlineLevel="0" collapsed="false"/>
    <row r="1046850" customFormat="false" ht="12.8" hidden="false" customHeight="false" outlineLevel="0" collapsed="false"/>
    <row r="1046851" customFormat="false" ht="12.8" hidden="false" customHeight="false" outlineLevel="0" collapsed="false"/>
    <row r="1046852" customFormat="false" ht="12.8" hidden="false" customHeight="false" outlineLevel="0" collapsed="false"/>
    <row r="1046853" customFormat="false" ht="12.8" hidden="false" customHeight="false" outlineLevel="0" collapsed="false"/>
    <row r="1046854" customFormat="false" ht="12.8" hidden="false" customHeight="false" outlineLevel="0" collapsed="false"/>
    <row r="1046855" customFormat="false" ht="12.8" hidden="false" customHeight="false" outlineLevel="0" collapsed="false"/>
    <row r="1046856" customFormat="false" ht="12.8" hidden="false" customHeight="false" outlineLevel="0" collapsed="false"/>
    <row r="1046857" customFormat="false" ht="12.8" hidden="false" customHeight="false" outlineLevel="0" collapsed="false"/>
    <row r="1046858" customFormat="false" ht="12.8" hidden="false" customHeight="false" outlineLevel="0" collapsed="false"/>
    <row r="1046859" customFormat="false" ht="12.8" hidden="false" customHeight="false" outlineLevel="0" collapsed="false"/>
    <row r="1046860" customFormat="false" ht="12.8" hidden="false" customHeight="false" outlineLevel="0" collapsed="false"/>
    <row r="1046861" customFormat="false" ht="12.8" hidden="false" customHeight="false" outlineLevel="0" collapsed="false"/>
    <row r="1046862" customFormat="false" ht="12.8" hidden="false" customHeight="false" outlineLevel="0" collapsed="false"/>
    <row r="1046863" customFormat="false" ht="12.8" hidden="false" customHeight="false" outlineLevel="0" collapsed="false"/>
    <row r="1046864" customFormat="false" ht="12.8" hidden="false" customHeight="false" outlineLevel="0" collapsed="false"/>
    <row r="1046865" customFormat="false" ht="12.8" hidden="false" customHeight="false" outlineLevel="0" collapsed="false"/>
    <row r="1046866" customFormat="false" ht="12.8" hidden="false" customHeight="false" outlineLevel="0" collapsed="false"/>
    <row r="1046867" customFormat="false" ht="12.8" hidden="false" customHeight="false" outlineLevel="0" collapsed="false"/>
    <row r="1046868" customFormat="false" ht="12.8" hidden="false" customHeight="false" outlineLevel="0" collapsed="false"/>
    <row r="1046869" customFormat="false" ht="12.8" hidden="false" customHeight="false" outlineLevel="0" collapsed="false"/>
    <row r="1046870" customFormat="false" ht="12.8" hidden="false" customHeight="false" outlineLevel="0" collapsed="false"/>
    <row r="1046871" customFormat="false" ht="12.8" hidden="false" customHeight="false" outlineLevel="0" collapsed="false"/>
    <row r="1046872" customFormat="false" ht="12.8" hidden="false" customHeight="false" outlineLevel="0" collapsed="false"/>
    <row r="1046873" customFormat="false" ht="12.8" hidden="false" customHeight="false" outlineLevel="0" collapsed="false"/>
    <row r="1046874" customFormat="false" ht="12.8" hidden="false" customHeight="false" outlineLevel="0" collapsed="false"/>
    <row r="1046875" customFormat="false" ht="12.8" hidden="false" customHeight="false" outlineLevel="0" collapsed="false"/>
    <row r="1046876" customFormat="false" ht="12.8" hidden="false" customHeight="false" outlineLevel="0" collapsed="false"/>
    <row r="1046877" customFormat="false" ht="12.8" hidden="false" customHeight="false" outlineLevel="0" collapsed="false"/>
    <row r="1046878" customFormat="false" ht="12.8" hidden="false" customHeight="false" outlineLevel="0" collapsed="false"/>
    <row r="1046879" customFormat="false" ht="12.8" hidden="false" customHeight="false" outlineLevel="0" collapsed="false"/>
    <row r="1046880" customFormat="false" ht="12.8" hidden="false" customHeight="false" outlineLevel="0" collapsed="false"/>
    <row r="1046881" customFormat="false" ht="12.8" hidden="false" customHeight="false" outlineLevel="0" collapsed="false"/>
    <row r="1046882" customFormat="false" ht="12.8" hidden="false" customHeight="false" outlineLevel="0" collapsed="false"/>
    <row r="1046883" customFormat="false" ht="12.8" hidden="false" customHeight="false" outlineLevel="0" collapsed="false"/>
    <row r="1046884" customFormat="false" ht="12.8" hidden="false" customHeight="false" outlineLevel="0" collapsed="false"/>
    <row r="1046885" customFormat="false" ht="12.8" hidden="false" customHeight="false" outlineLevel="0" collapsed="false"/>
    <row r="1046886" customFormat="false" ht="12.8" hidden="false" customHeight="false" outlineLevel="0" collapsed="false"/>
    <row r="1046887" customFormat="false" ht="12.8" hidden="false" customHeight="false" outlineLevel="0" collapsed="false"/>
    <row r="1046888" customFormat="false" ht="12.8" hidden="false" customHeight="false" outlineLevel="0" collapsed="false"/>
    <row r="1046889" customFormat="false" ht="12.8" hidden="false" customHeight="false" outlineLevel="0" collapsed="false"/>
    <row r="1046890" customFormat="false" ht="12.8" hidden="false" customHeight="false" outlineLevel="0" collapsed="false"/>
    <row r="1046891" customFormat="false" ht="12.8" hidden="false" customHeight="false" outlineLevel="0" collapsed="false"/>
    <row r="1046892" customFormat="false" ht="12.8" hidden="false" customHeight="false" outlineLevel="0" collapsed="false"/>
    <row r="1046893" customFormat="false" ht="12.8" hidden="false" customHeight="false" outlineLevel="0" collapsed="false"/>
    <row r="1046894" customFormat="false" ht="12.8" hidden="false" customHeight="false" outlineLevel="0" collapsed="false"/>
    <row r="1046895" customFormat="false" ht="12.8" hidden="false" customHeight="false" outlineLevel="0" collapsed="false"/>
    <row r="1046896" customFormat="false" ht="12.8" hidden="false" customHeight="false" outlineLevel="0" collapsed="false"/>
    <row r="1046897" customFormat="false" ht="12.8" hidden="false" customHeight="false" outlineLevel="0" collapsed="false"/>
    <row r="1046898" customFormat="false" ht="12.8" hidden="false" customHeight="false" outlineLevel="0" collapsed="false"/>
    <row r="1046899" customFormat="false" ht="12.8" hidden="false" customHeight="false" outlineLevel="0" collapsed="false"/>
    <row r="1046900" customFormat="false" ht="12.8" hidden="false" customHeight="false" outlineLevel="0" collapsed="false"/>
    <row r="1046901" customFormat="false" ht="12.8" hidden="false" customHeight="false" outlineLevel="0" collapsed="false"/>
    <row r="1046902" customFormat="false" ht="12.8" hidden="false" customHeight="false" outlineLevel="0" collapsed="false"/>
    <row r="1046903" customFormat="false" ht="12.8" hidden="false" customHeight="false" outlineLevel="0" collapsed="false"/>
    <row r="1046904" customFormat="false" ht="12.8" hidden="false" customHeight="false" outlineLevel="0" collapsed="false"/>
    <row r="1046905" customFormat="false" ht="12.8" hidden="false" customHeight="false" outlineLevel="0" collapsed="false"/>
    <row r="1046906" customFormat="false" ht="12.8" hidden="false" customHeight="false" outlineLevel="0" collapsed="false"/>
    <row r="1046907" customFormat="false" ht="12.8" hidden="false" customHeight="false" outlineLevel="0" collapsed="false"/>
    <row r="1046908" customFormat="false" ht="12.8" hidden="false" customHeight="false" outlineLevel="0" collapsed="false"/>
    <row r="1046909" customFormat="false" ht="12.8" hidden="false" customHeight="false" outlineLevel="0" collapsed="false"/>
    <row r="1046910" customFormat="false" ht="12.8" hidden="false" customHeight="false" outlineLevel="0" collapsed="false"/>
    <row r="1046911" customFormat="false" ht="12.8" hidden="false" customHeight="false" outlineLevel="0" collapsed="false"/>
    <row r="1046912" customFormat="false" ht="12.8" hidden="false" customHeight="false" outlineLevel="0" collapsed="false"/>
    <row r="1046913" customFormat="false" ht="12.8" hidden="false" customHeight="false" outlineLevel="0" collapsed="false"/>
    <row r="1046914" customFormat="false" ht="12.8" hidden="false" customHeight="false" outlineLevel="0" collapsed="false"/>
    <row r="1046915" customFormat="false" ht="12.8" hidden="false" customHeight="false" outlineLevel="0" collapsed="false"/>
    <row r="1046916" customFormat="false" ht="12.8" hidden="false" customHeight="false" outlineLevel="0" collapsed="false"/>
    <row r="1046917" customFormat="false" ht="12.8" hidden="false" customHeight="false" outlineLevel="0" collapsed="false"/>
    <row r="1046918" customFormat="false" ht="12.8" hidden="false" customHeight="false" outlineLevel="0" collapsed="false"/>
    <row r="1046919" customFormat="false" ht="12.8" hidden="false" customHeight="false" outlineLevel="0" collapsed="false"/>
    <row r="1046920" customFormat="false" ht="12.8" hidden="false" customHeight="false" outlineLevel="0" collapsed="false"/>
    <row r="1046921" customFormat="false" ht="12.8" hidden="false" customHeight="false" outlineLevel="0" collapsed="false"/>
    <row r="1046922" customFormat="false" ht="12.8" hidden="false" customHeight="false" outlineLevel="0" collapsed="false"/>
    <row r="1046923" customFormat="false" ht="12.8" hidden="false" customHeight="false" outlineLevel="0" collapsed="false"/>
    <row r="1046924" customFormat="false" ht="12.8" hidden="false" customHeight="false" outlineLevel="0" collapsed="false"/>
    <row r="1046925" customFormat="false" ht="12.8" hidden="false" customHeight="false" outlineLevel="0" collapsed="false"/>
    <row r="1046926" customFormat="false" ht="12.8" hidden="false" customHeight="false" outlineLevel="0" collapsed="false"/>
    <row r="1046927" customFormat="false" ht="12.8" hidden="false" customHeight="false" outlineLevel="0" collapsed="false"/>
    <row r="1046928" customFormat="false" ht="12.8" hidden="false" customHeight="false" outlineLevel="0" collapsed="false"/>
    <row r="1046929" customFormat="false" ht="12.8" hidden="false" customHeight="false" outlineLevel="0" collapsed="false"/>
    <row r="1046930" customFormat="false" ht="12.8" hidden="false" customHeight="false" outlineLevel="0" collapsed="false"/>
    <row r="1046931" customFormat="false" ht="12.8" hidden="false" customHeight="false" outlineLevel="0" collapsed="false"/>
    <row r="1046932" customFormat="false" ht="12.8" hidden="false" customHeight="false" outlineLevel="0" collapsed="false"/>
    <row r="1046933" customFormat="false" ht="12.8" hidden="false" customHeight="false" outlineLevel="0" collapsed="false"/>
    <row r="1046934" customFormat="false" ht="12.8" hidden="false" customHeight="false" outlineLevel="0" collapsed="false"/>
    <row r="1046935" customFormat="false" ht="12.8" hidden="false" customHeight="false" outlineLevel="0" collapsed="false"/>
    <row r="1046936" customFormat="false" ht="12.8" hidden="false" customHeight="false" outlineLevel="0" collapsed="false"/>
    <row r="1046937" customFormat="false" ht="12.8" hidden="false" customHeight="false" outlineLevel="0" collapsed="false"/>
    <row r="1046938" customFormat="false" ht="12.8" hidden="false" customHeight="false" outlineLevel="0" collapsed="false"/>
    <row r="1046939" customFormat="false" ht="12.8" hidden="false" customHeight="false" outlineLevel="0" collapsed="false"/>
    <row r="1046940" customFormat="false" ht="12.8" hidden="false" customHeight="false" outlineLevel="0" collapsed="false"/>
    <row r="1046941" customFormat="false" ht="12.8" hidden="false" customHeight="false" outlineLevel="0" collapsed="false"/>
    <row r="1046942" customFormat="false" ht="12.8" hidden="false" customHeight="false" outlineLevel="0" collapsed="false"/>
    <row r="1046943" customFormat="false" ht="12.8" hidden="false" customHeight="false" outlineLevel="0" collapsed="false"/>
    <row r="1046944" customFormat="false" ht="12.8" hidden="false" customHeight="false" outlineLevel="0" collapsed="false"/>
    <row r="1046945" customFormat="false" ht="12.8" hidden="false" customHeight="false" outlineLevel="0" collapsed="false"/>
    <row r="1046946" customFormat="false" ht="12.8" hidden="false" customHeight="false" outlineLevel="0" collapsed="false"/>
    <row r="1046947" customFormat="false" ht="12.8" hidden="false" customHeight="false" outlineLevel="0" collapsed="false"/>
    <row r="1046948" customFormat="false" ht="12.8" hidden="false" customHeight="false" outlineLevel="0" collapsed="false"/>
    <row r="1046949" customFormat="false" ht="12.8" hidden="false" customHeight="false" outlineLevel="0" collapsed="false"/>
    <row r="1046950" customFormat="false" ht="12.8" hidden="false" customHeight="false" outlineLevel="0" collapsed="false"/>
    <row r="1046951" customFormat="false" ht="12.8" hidden="false" customHeight="false" outlineLevel="0" collapsed="false"/>
    <row r="1046952" customFormat="false" ht="12.8" hidden="false" customHeight="false" outlineLevel="0" collapsed="false"/>
    <row r="1046953" customFormat="false" ht="12.8" hidden="false" customHeight="false" outlineLevel="0" collapsed="false"/>
    <row r="1046954" customFormat="false" ht="12.8" hidden="false" customHeight="false" outlineLevel="0" collapsed="false"/>
    <row r="1046955" customFormat="false" ht="12.8" hidden="false" customHeight="false" outlineLevel="0" collapsed="false"/>
    <row r="1046956" customFormat="false" ht="12.8" hidden="false" customHeight="false" outlineLevel="0" collapsed="false"/>
    <row r="1046957" customFormat="false" ht="12.8" hidden="false" customHeight="false" outlineLevel="0" collapsed="false"/>
    <row r="1046958" customFormat="false" ht="12.8" hidden="false" customHeight="false" outlineLevel="0" collapsed="false"/>
    <row r="1046959" customFormat="false" ht="12.8" hidden="false" customHeight="false" outlineLevel="0" collapsed="false"/>
    <row r="1046960" customFormat="false" ht="12.8" hidden="false" customHeight="false" outlineLevel="0" collapsed="false"/>
    <row r="1046961" customFormat="false" ht="12.8" hidden="false" customHeight="false" outlineLevel="0" collapsed="false"/>
    <row r="1046962" customFormat="false" ht="12.8" hidden="false" customHeight="false" outlineLevel="0" collapsed="false"/>
    <row r="1046963" customFormat="false" ht="12.8" hidden="false" customHeight="false" outlineLevel="0" collapsed="false"/>
    <row r="1046964" customFormat="false" ht="12.8" hidden="false" customHeight="false" outlineLevel="0" collapsed="false"/>
    <row r="1046965" customFormat="false" ht="12.8" hidden="false" customHeight="false" outlineLevel="0" collapsed="false"/>
    <row r="1046966" customFormat="false" ht="12.8" hidden="false" customHeight="false" outlineLevel="0" collapsed="false"/>
    <row r="1046967" customFormat="false" ht="12.8" hidden="false" customHeight="false" outlineLevel="0" collapsed="false"/>
    <row r="1046968" customFormat="false" ht="12.8" hidden="false" customHeight="false" outlineLevel="0" collapsed="false"/>
    <row r="1046969" customFormat="false" ht="12.8" hidden="false" customHeight="false" outlineLevel="0" collapsed="false"/>
    <row r="1046970" customFormat="false" ht="12.8" hidden="false" customHeight="false" outlineLevel="0" collapsed="false"/>
    <row r="1046971" customFormat="false" ht="12.8" hidden="false" customHeight="false" outlineLevel="0" collapsed="false"/>
    <row r="1046972" customFormat="false" ht="12.8" hidden="false" customHeight="false" outlineLevel="0" collapsed="false"/>
    <row r="1046973" customFormat="false" ht="12.8" hidden="false" customHeight="false" outlineLevel="0" collapsed="false"/>
    <row r="1046974" customFormat="false" ht="12.8" hidden="false" customHeight="false" outlineLevel="0" collapsed="false"/>
    <row r="1046975" customFormat="false" ht="12.8" hidden="false" customHeight="false" outlineLevel="0" collapsed="false"/>
    <row r="1046976" customFormat="false" ht="12.8" hidden="false" customHeight="false" outlineLevel="0" collapsed="false"/>
    <row r="1046977" customFormat="false" ht="12.8" hidden="false" customHeight="false" outlineLevel="0" collapsed="false"/>
    <row r="1046978" customFormat="false" ht="12.8" hidden="false" customHeight="false" outlineLevel="0" collapsed="false"/>
    <row r="1046979" customFormat="false" ht="12.8" hidden="false" customHeight="false" outlineLevel="0" collapsed="false"/>
    <row r="1046980" customFormat="false" ht="12.8" hidden="false" customHeight="false" outlineLevel="0" collapsed="false"/>
    <row r="1046981" customFormat="false" ht="12.8" hidden="false" customHeight="false" outlineLevel="0" collapsed="false"/>
    <row r="1046982" customFormat="false" ht="12.8" hidden="false" customHeight="false" outlineLevel="0" collapsed="false"/>
    <row r="1046983" customFormat="false" ht="12.8" hidden="false" customHeight="false" outlineLevel="0" collapsed="false"/>
    <row r="1046984" customFormat="false" ht="12.8" hidden="false" customHeight="false" outlineLevel="0" collapsed="false"/>
    <row r="1046985" customFormat="false" ht="12.8" hidden="false" customHeight="false" outlineLevel="0" collapsed="false"/>
    <row r="1046986" customFormat="false" ht="12.8" hidden="false" customHeight="false" outlineLevel="0" collapsed="false"/>
    <row r="1046987" customFormat="false" ht="12.8" hidden="false" customHeight="false" outlineLevel="0" collapsed="false"/>
    <row r="1046988" customFormat="false" ht="12.8" hidden="false" customHeight="false" outlineLevel="0" collapsed="false"/>
    <row r="1046989" customFormat="false" ht="12.8" hidden="false" customHeight="false" outlineLevel="0" collapsed="false"/>
    <row r="1046990" customFormat="false" ht="12.8" hidden="false" customHeight="false" outlineLevel="0" collapsed="false"/>
    <row r="1046991" customFormat="false" ht="12.8" hidden="false" customHeight="false" outlineLevel="0" collapsed="false"/>
    <row r="1046992" customFormat="false" ht="12.8" hidden="false" customHeight="false" outlineLevel="0" collapsed="false"/>
    <row r="1046993" customFormat="false" ht="12.8" hidden="false" customHeight="false" outlineLevel="0" collapsed="false"/>
    <row r="1046994" customFormat="false" ht="12.8" hidden="false" customHeight="false" outlineLevel="0" collapsed="false"/>
    <row r="1046995" customFormat="false" ht="12.8" hidden="false" customHeight="false" outlineLevel="0" collapsed="false"/>
    <row r="1046996" customFormat="false" ht="12.8" hidden="false" customHeight="false" outlineLevel="0" collapsed="false"/>
    <row r="1046997" customFormat="false" ht="12.8" hidden="false" customHeight="false" outlineLevel="0" collapsed="false"/>
    <row r="1046998" customFormat="false" ht="12.8" hidden="false" customHeight="false" outlineLevel="0" collapsed="false"/>
    <row r="1046999" customFormat="false" ht="12.8" hidden="false" customHeight="false" outlineLevel="0" collapsed="false"/>
    <row r="1047000" customFormat="false" ht="12.8" hidden="false" customHeight="false" outlineLevel="0" collapsed="false"/>
    <row r="1047001" customFormat="false" ht="12.8" hidden="false" customHeight="false" outlineLevel="0" collapsed="false"/>
    <row r="1047002" customFormat="false" ht="12.8" hidden="false" customHeight="false" outlineLevel="0" collapsed="false"/>
    <row r="1047003" customFormat="false" ht="12.8" hidden="false" customHeight="false" outlineLevel="0" collapsed="false"/>
    <row r="1047004" customFormat="false" ht="12.8" hidden="false" customHeight="false" outlineLevel="0" collapsed="false"/>
    <row r="1047005" customFormat="false" ht="12.8" hidden="false" customHeight="false" outlineLevel="0" collapsed="false"/>
    <row r="1047006" customFormat="false" ht="12.8" hidden="false" customHeight="false" outlineLevel="0" collapsed="false"/>
    <row r="1047007" customFormat="false" ht="12.8" hidden="false" customHeight="false" outlineLevel="0" collapsed="false"/>
    <row r="1047008" customFormat="false" ht="12.8" hidden="false" customHeight="false" outlineLevel="0" collapsed="false"/>
    <row r="1047009" customFormat="false" ht="12.8" hidden="false" customHeight="false" outlineLevel="0" collapsed="false"/>
    <row r="1047010" customFormat="false" ht="12.8" hidden="false" customHeight="false" outlineLevel="0" collapsed="false"/>
    <row r="1047011" customFormat="false" ht="12.8" hidden="false" customHeight="false" outlineLevel="0" collapsed="false"/>
    <row r="1047012" customFormat="false" ht="12.8" hidden="false" customHeight="false" outlineLevel="0" collapsed="false"/>
    <row r="1047013" customFormat="false" ht="12.8" hidden="false" customHeight="false" outlineLevel="0" collapsed="false"/>
    <row r="1047014" customFormat="false" ht="12.8" hidden="false" customHeight="false" outlineLevel="0" collapsed="false"/>
    <row r="1047015" customFormat="false" ht="12.8" hidden="false" customHeight="false" outlineLevel="0" collapsed="false"/>
    <row r="1047016" customFormat="false" ht="12.8" hidden="false" customHeight="false" outlineLevel="0" collapsed="false"/>
    <row r="1047017" customFormat="false" ht="12.8" hidden="false" customHeight="false" outlineLevel="0" collapsed="false"/>
    <row r="1047018" customFormat="false" ht="12.8" hidden="false" customHeight="false" outlineLevel="0" collapsed="false"/>
    <row r="1047019" customFormat="false" ht="12.8" hidden="false" customHeight="false" outlineLevel="0" collapsed="false"/>
    <row r="1047020" customFormat="false" ht="12.8" hidden="false" customHeight="false" outlineLevel="0" collapsed="false"/>
    <row r="1047021" customFormat="false" ht="12.8" hidden="false" customHeight="false" outlineLevel="0" collapsed="false"/>
    <row r="1047022" customFormat="false" ht="12.8" hidden="false" customHeight="false" outlineLevel="0" collapsed="false"/>
    <row r="1047023" customFormat="false" ht="12.8" hidden="false" customHeight="false" outlineLevel="0" collapsed="false"/>
    <row r="1047024" customFormat="false" ht="12.8" hidden="false" customHeight="false" outlineLevel="0" collapsed="false"/>
    <row r="1047025" customFormat="false" ht="12.8" hidden="false" customHeight="false" outlineLevel="0" collapsed="false"/>
    <row r="1047026" customFormat="false" ht="12.8" hidden="false" customHeight="false" outlineLevel="0" collapsed="false"/>
    <row r="1047027" customFormat="false" ht="12.8" hidden="false" customHeight="false" outlineLevel="0" collapsed="false"/>
    <row r="1047028" customFormat="false" ht="12.8" hidden="false" customHeight="false" outlineLevel="0" collapsed="false"/>
    <row r="1047029" customFormat="false" ht="12.8" hidden="false" customHeight="false" outlineLevel="0" collapsed="false"/>
    <row r="1047030" customFormat="false" ht="12.8" hidden="false" customHeight="false" outlineLevel="0" collapsed="false"/>
    <row r="1047031" customFormat="false" ht="12.8" hidden="false" customHeight="false" outlineLevel="0" collapsed="false"/>
    <row r="1047032" customFormat="false" ht="12.8" hidden="false" customHeight="false" outlineLevel="0" collapsed="false"/>
    <row r="1047033" customFormat="false" ht="12.8" hidden="false" customHeight="false" outlineLevel="0" collapsed="false"/>
    <row r="1047034" customFormat="false" ht="12.8" hidden="false" customHeight="false" outlineLevel="0" collapsed="false"/>
    <row r="1047035" customFormat="false" ht="12.8" hidden="false" customHeight="false" outlineLevel="0" collapsed="false"/>
    <row r="1047036" customFormat="false" ht="12.8" hidden="false" customHeight="false" outlineLevel="0" collapsed="false"/>
    <row r="1047037" customFormat="false" ht="12.8" hidden="false" customHeight="false" outlineLevel="0" collapsed="false"/>
    <row r="1047038" customFormat="false" ht="12.8" hidden="false" customHeight="false" outlineLevel="0" collapsed="false"/>
    <row r="1047039" customFormat="false" ht="12.8" hidden="false" customHeight="false" outlineLevel="0" collapsed="false"/>
    <row r="1047040" customFormat="false" ht="12.8" hidden="false" customHeight="false" outlineLevel="0" collapsed="false"/>
    <row r="1047041" customFormat="false" ht="12.8" hidden="false" customHeight="false" outlineLevel="0" collapsed="false"/>
    <row r="1047042" customFormat="false" ht="12.8" hidden="false" customHeight="false" outlineLevel="0" collapsed="false"/>
    <row r="1047043" customFormat="false" ht="12.8" hidden="false" customHeight="false" outlineLevel="0" collapsed="false"/>
    <row r="1047044" customFormat="false" ht="12.8" hidden="false" customHeight="false" outlineLevel="0" collapsed="false"/>
    <row r="1047045" customFormat="false" ht="12.8" hidden="false" customHeight="false" outlineLevel="0" collapsed="false"/>
    <row r="1047046" customFormat="false" ht="12.8" hidden="false" customHeight="false" outlineLevel="0" collapsed="false"/>
    <row r="1047047" customFormat="false" ht="12.8" hidden="false" customHeight="false" outlineLevel="0" collapsed="false"/>
    <row r="1047048" customFormat="false" ht="12.8" hidden="false" customHeight="false" outlineLevel="0" collapsed="false"/>
    <row r="1047049" customFormat="false" ht="12.8" hidden="false" customHeight="false" outlineLevel="0" collapsed="false"/>
    <row r="1047050" customFormat="false" ht="12.8" hidden="false" customHeight="false" outlineLevel="0" collapsed="false"/>
    <row r="1047051" customFormat="false" ht="12.8" hidden="false" customHeight="false" outlineLevel="0" collapsed="false"/>
    <row r="1047052" customFormat="false" ht="12.8" hidden="false" customHeight="false" outlineLevel="0" collapsed="false"/>
    <row r="1047053" customFormat="false" ht="12.8" hidden="false" customHeight="false" outlineLevel="0" collapsed="false"/>
    <row r="1047054" customFormat="false" ht="12.8" hidden="false" customHeight="false" outlineLevel="0" collapsed="false"/>
    <row r="1047055" customFormat="false" ht="12.8" hidden="false" customHeight="false" outlineLevel="0" collapsed="false"/>
    <row r="1047056" customFormat="false" ht="12.8" hidden="false" customHeight="false" outlineLevel="0" collapsed="false"/>
    <row r="1047057" customFormat="false" ht="12.8" hidden="false" customHeight="false" outlineLevel="0" collapsed="false"/>
    <row r="1047058" customFormat="false" ht="12.8" hidden="false" customHeight="false" outlineLevel="0" collapsed="false"/>
    <row r="1047059" customFormat="false" ht="12.8" hidden="false" customHeight="false" outlineLevel="0" collapsed="false"/>
    <row r="1047060" customFormat="false" ht="12.8" hidden="false" customHeight="false" outlineLevel="0" collapsed="false"/>
    <row r="1047061" customFormat="false" ht="12.8" hidden="false" customHeight="false" outlineLevel="0" collapsed="false"/>
    <row r="1047062" customFormat="false" ht="12.8" hidden="false" customHeight="false" outlineLevel="0" collapsed="false"/>
    <row r="1047063" customFormat="false" ht="12.8" hidden="false" customHeight="false" outlineLevel="0" collapsed="false"/>
    <row r="1047064" customFormat="false" ht="12.8" hidden="false" customHeight="false" outlineLevel="0" collapsed="false"/>
    <row r="1047065" customFormat="false" ht="12.8" hidden="false" customHeight="false" outlineLevel="0" collapsed="false"/>
    <row r="1047066" customFormat="false" ht="12.8" hidden="false" customHeight="false" outlineLevel="0" collapsed="false"/>
    <row r="1047067" customFormat="false" ht="12.8" hidden="false" customHeight="false" outlineLevel="0" collapsed="false"/>
    <row r="1047068" customFormat="false" ht="12.8" hidden="false" customHeight="false" outlineLevel="0" collapsed="false"/>
    <row r="1047069" customFormat="false" ht="12.8" hidden="false" customHeight="false" outlineLevel="0" collapsed="false"/>
    <row r="1047070" customFormat="false" ht="12.8" hidden="false" customHeight="false" outlineLevel="0" collapsed="false"/>
    <row r="1047071" customFormat="false" ht="12.8" hidden="false" customHeight="false" outlineLevel="0" collapsed="false"/>
    <row r="1047072" customFormat="false" ht="12.8" hidden="false" customHeight="false" outlineLevel="0" collapsed="false"/>
    <row r="1047073" customFormat="false" ht="12.8" hidden="false" customHeight="false" outlineLevel="0" collapsed="false"/>
    <row r="1047074" customFormat="false" ht="12.8" hidden="false" customHeight="false" outlineLevel="0" collapsed="false"/>
    <row r="1047075" customFormat="false" ht="12.8" hidden="false" customHeight="false" outlineLevel="0" collapsed="false"/>
    <row r="1047076" customFormat="false" ht="12.8" hidden="false" customHeight="false" outlineLevel="0" collapsed="false"/>
    <row r="1047077" customFormat="false" ht="12.8" hidden="false" customHeight="false" outlineLevel="0" collapsed="false"/>
    <row r="1047078" customFormat="false" ht="12.8" hidden="false" customHeight="false" outlineLevel="0" collapsed="false"/>
    <row r="1047079" customFormat="false" ht="12.8" hidden="false" customHeight="false" outlineLevel="0" collapsed="false"/>
    <row r="1047080" customFormat="false" ht="12.8" hidden="false" customHeight="false" outlineLevel="0" collapsed="false"/>
    <row r="1047081" customFormat="false" ht="12.8" hidden="false" customHeight="false" outlineLevel="0" collapsed="false"/>
    <row r="1047082" customFormat="false" ht="12.8" hidden="false" customHeight="false" outlineLevel="0" collapsed="false"/>
    <row r="1047083" customFormat="false" ht="12.8" hidden="false" customHeight="false" outlineLevel="0" collapsed="false"/>
    <row r="1047084" customFormat="false" ht="12.8" hidden="false" customHeight="false" outlineLevel="0" collapsed="false"/>
    <row r="1047085" customFormat="false" ht="12.8" hidden="false" customHeight="false" outlineLevel="0" collapsed="false"/>
    <row r="1047086" customFormat="false" ht="12.8" hidden="false" customHeight="false" outlineLevel="0" collapsed="false"/>
    <row r="1047087" customFormat="false" ht="12.8" hidden="false" customHeight="false" outlineLevel="0" collapsed="false"/>
    <row r="1047088" customFormat="false" ht="12.8" hidden="false" customHeight="false" outlineLevel="0" collapsed="false"/>
    <row r="1047089" customFormat="false" ht="12.8" hidden="false" customHeight="false" outlineLevel="0" collapsed="false"/>
    <row r="1047090" customFormat="false" ht="12.8" hidden="false" customHeight="false" outlineLevel="0" collapsed="false"/>
    <row r="1047091" customFormat="false" ht="12.8" hidden="false" customHeight="false" outlineLevel="0" collapsed="false"/>
    <row r="1047092" customFormat="false" ht="12.8" hidden="false" customHeight="false" outlineLevel="0" collapsed="false"/>
    <row r="1047093" customFormat="false" ht="12.8" hidden="false" customHeight="false" outlineLevel="0" collapsed="false"/>
    <row r="1047094" customFormat="false" ht="12.8" hidden="false" customHeight="false" outlineLevel="0" collapsed="false"/>
    <row r="1047095" customFormat="false" ht="12.8" hidden="false" customHeight="false" outlineLevel="0" collapsed="false"/>
    <row r="1047096" customFormat="false" ht="12.8" hidden="false" customHeight="false" outlineLevel="0" collapsed="false"/>
    <row r="1047097" customFormat="false" ht="12.8" hidden="false" customHeight="false" outlineLevel="0" collapsed="false"/>
    <row r="1047098" customFormat="false" ht="12.8" hidden="false" customHeight="false" outlineLevel="0" collapsed="false"/>
    <row r="1047099" customFormat="false" ht="12.8" hidden="false" customHeight="false" outlineLevel="0" collapsed="false"/>
    <row r="1047100" customFormat="false" ht="12.8" hidden="false" customHeight="false" outlineLevel="0" collapsed="false"/>
    <row r="1047101" customFormat="false" ht="12.8" hidden="false" customHeight="false" outlineLevel="0" collapsed="false"/>
    <row r="1047102" customFormat="false" ht="12.8" hidden="false" customHeight="false" outlineLevel="0" collapsed="false"/>
    <row r="1047103" customFormat="false" ht="12.8" hidden="false" customHeight="false" outlineLevel="0" collapsed="false"/>
    <row r="1047104" customFormat="false" ht="12.8" hidden="false" customHeight="false" outlineLevel="0" collapsed="false"/>
    <row r="1047105" customFormat="false" ht="12.8" hidden="false" customHeight="false" outlineLevel="0" collapsed="false"/>
    <row r="1047106" customFormat="false" ht="12.8" hidden="false" customHeight="false" outlineLevel="0" collapsed="false"/>
    <row r="1047107" customFormat="false" ht="12.8" hidden="false" customHeight="false" outlineLevel="0" collapsed="false"/>
    <row r="1047108" customFormat="false" ht="12.8" hidden="false" customHeight="false" outlineLevel="0" collapsed="false"/>
    <row r="1047109" customFormat="false" ht="12.8" hidden="false" customHeight="false" outlineLevel="0" collapsed="false"/>
    <row r="1047110" customFormat="false" ht="12.8" hidden="false" customHeight="false" outlineLevel="0" collapsed="false"/>
    <row r="1047111" customFormat="false" ht="12.8" hidden="false" customHeight="false" outlineLevel="0" collapsed="false"/>
    <row r="1047112" customFormat="false" ht="12.8" hidden="false" customHeight="false" outlineLevel="0" collapsed="false"/>
    <row r="1047113" customFormat="false" ht="12.8" hidden="false" customHeight="false" outlineLevel="0" collapsed="false"/>
    <row r="1047114" customFormat="false" ht="12.8" hidden="false" customHeight="false" outlineLevel="0" collapsed="false"/>
    <row r="1047115" customFormat="false" ht="12.8" hidden="false" customHeight="false" outlineLevel="0" collapsed="false"/>
    <row r="1047116" customFormat="false" ht="12.8" hidden="false" customHeight="false" outlineLevel="0" collapsed="false"/>
    <row r="1047117" customFormat="false" ht="12.8" hidden="false" customHeight="false" outlineLevel="0" collapsed="false"/>
    <row r="1047118" customFormat="false" ht="12.8" hidden="false" customHeight="false" outlineLevel="0" collapsed="false"/>
    <row r="1047119" customFormat="false" ht="12.8" hidden="false" customHeight="false" outlineLevel="0" collapsed="false"/>
    <row r="1047120" customFormat="false" ht="12.8" hidden="false" customHeight="false" outlineLevel="0" collapsed="false"/>
    <row r="1047121" customFormat="false" ht="12.8" hidden="false" customHeight="false" outlineLevel="0" collapsed="false"/>
    <row r="1047122" customFormat="false" ht="12.8" hidden="false" customHeight="false" outlineLevel="0" collapsed="false"/>
    <row r="1047123" customFormat="false" ht="12.8" hidden="false" customHeight="false" outlineLevel="0" collapsed="false"/>
    <row r="1047124" customFormat="false" ht="12.8" hidden="false" customHeight="false" outlineLevel="0" collapsed="false"/>
    <row r="1047125" customFormat="false" ht="12.8" hidden="false" customHeight="false" outlineLevel="0" collapsed="false"/>
    <row r="1047126" customFormat="false" ht="12.8" hidden="false" customHeight="false" outlineLevel="0" collapsed="false"/>
    <row r="1047127" customFormat="false" ht="12.8" hidden="false" customHeight="false" outlineLevel="0" collapsed="false"/>
    <row r="1047128" customFormat="false" ht="12.8" hidden="false" customHeight="false" outlineLevel="0" collapsed="false"/>
    <row r="1047129" customFormat="false" ht="12.8" hidden="false" customHeight="false" outlineLevel="0" collapsed="false"/>
    <row r="1047130" customFormat="false" ht="12.8" hidden="false" customHeight="false" outlineLevel="0" collapsed="false"/>
    <row r="1047131" customFormat="false" ht="12.8" hidden="false" customHeight="false" outlineLevel="0" collapsed="false"/>
    <row r="1047132" customFormat="false" ht="12.8" hidden="false" customHeight="false" outlineLevel="0" collapsed="false"/>
    <row r="1047133" customFormat="false" ht="12.8" hidden="false" customHeight="false" outlineLevel="0" collapsed="false"/>
    <row r="1047134" customFormat="false" ht="12.8" hidden="false" customHeight="false" outlineLevel="0" collapsed="false"/>
    <row r="1047135" customFormat="false" ht="12.8" hidden="false" customHeight="false" outlineLevel="0" collapsed="false"/>
    <row r="1047136" customFormat="false" ht="12.8" hidden="false" customHeight="false" outlineLevel="0" collapsed="false"/>
    <row r="1047137" customFormat="false" ht="12.8" hidden="false" customHeight="false" outlineLevel="0" collapsed="false"/>
    <row r="1047138" customFormat="false" ht="12.8" hidden="false" customHeight="false" outlineLevel="0" collapsed="false"/>
    <row r="1047139" customFormat="false" ht="12.8" hidden="false" customHeight="false" outlineLevel="0" collapsed="false"/>
    <row r="1047140" customFormat="false" ht="12.8" hidden="false" customHeight="false" outlineLevel="0" collapsed="false"/>
    <row r="1047141" customFormat="false" ht="12.8" hidden="false" customHeight="false" outlineLevel="0" collapsed="false"/>
    <row r="1047142" customFormat="false" ht="12.8" hidden="false" customHeight="false" outlineLevel="0" collapsed="false"/>
    <row r="1047143" customFormat="false" ht="12.8" hidden="false" customHeight="false" outlineLevel="0" collapsed="false"/>
    <row r="1047144" customFormat="false" ht="12.8" hidden="false" customHeight="false" outlineLevel="0" collapsed="false"/>
    <row r="1047145" customFormat="false" ht="12.8" hidden="false" customHeight="false" outlineLevel="0" collapsed="false"/>
    <row r="1047146" customFormat="false" ht="12.8" hidden="false" customHeight="false" outlineLevel="0" collapsed="false"/>
    <row r="1047147" customFormat="false" ht="12.8" hidden="false" customHeight="false" outlineLevel="0" collapsed="false"/>
    <row r="1047148" customFormat="false" ht="12.8" hidden="false" customHeight="false" outlineLevel="0" collapsed="false"/>
    <row r="1047149" customFormat="false" ht="12.8" hidden="false" customHeight="false" outlineLevel="0" collapsed="false"/>
    <row r="1047150" customFormat="false" ht="12.8" hidden="false" customHeight="false" outlineLevel="0" collapsed="false"/>
    <row r="1047151" customFormat="false" ht="12.8" hidden="false" customHeight="false" outlineLevel="0" collapsed="false"/>
    <row r="1047152" customFormat="false" ht="12.8" hidden="false" customHeight="false" outlineLevel="0" collapsed="false"/>
    <row r="1047153" customFormat="false" ht="12.8" hidden="false" customHeight="false" outlineLevel="0" collapsed="false"/>
    <row r="1047154" customFormat="false" ht="12.8" hidden="false" customHeight="false" outlineLevel="0" collapsed="false"/>
    <row r="1047155" customFormat="false" ht="12.8" hidden="false" customHeight="false" outlineLevel="0" collapsed="false"/>
    <row r="1047156" customFormat="false" ht="12.8" hidden="false" customHeight="false" outlineLevel="0" collapsed="false"/>
    <row r="1047157" customFormat="false" ht="12.8" hidden="false" customHeight="false" outlineLevel="0" collapsed="false"/>
    <row r="1047158" customFormat="false" ht="12.8" hidden="false" customHeight="false" outlineLevel="0" collapsed="false"/>
    <row r="1047159" customFormat="false" ht="12.8" hidden="false" customHeight="false" outlineLevel="0" collapsed="false"/>
    <row r="1047160" customFormat="false" ht="12.8" hidden="false" customHeight="false" outlineLevel="0" collapsed="false"/>
    <row r="1047161" customFormat="false" ht="12.8" hidden="false" customHeight="false" outlineLevel="0" collapsed="false"/>
    <row r="1047162" customFormat="false" ht="12.8" hidden="false" customHeight="false" outlineLevel="0" collapsed="false"/>
    <row r="1047163" customFormat="false" ht="12.8" hidden="false" customHeight="false" outlineLevel="0" collapsed="false"/>
    <row r="1047164" customFormat="false" ht="12.8" hidden="false" customHeight="false" outlineLevel="0" collapsed="false"/>
    <row r="1047165" customFormat="false" ht="12.8" hidden="false" customHeight="false" outlineLevel="0" collapsed="false"/>
    <row r="1047166" customFormat="false" ht="12.8" hidden="false" customHeight="false" outlineLevel="0" collapsed="false"/>
    <row r="1047167" customFormat="false" ht="12.8" hidden="false" customHeight="false" outlineLevel="0" collapsed="false"/>
    <row r="1047168" customFormat="false" ht="12.8" hidden="false" customHeight="false" outlineLevel="0" collapsed="false"/>
    <row r="1047169" customFormat="false" ht="12.8" hidden="false" customHeight="false" outlineLevel="0" collapsed="false"/>
    <row r="1047170" customFormat="false" ht="12.8" hidden="false" customHeight="false" outlineLevel="0" collapsed="false"/>
    <row r="1047171" customFormat="false" ht="12.8" hidden="false" customHeight="false" outlineLevel="0" collapsed="false"/>
    <row r="1047172" customFormat="false" ht="12.8" hidden="false" customHeight="false" outlineLevel="0" collapsed="false"/>
    <row r="1047173" customFormat="false" ht="12.8" hidden="false" customHeight="false" outlineLevel="0" collapsed="false"/>
    <row r="1047174" customFormat="false" ht="12.8" hidden="false" customHeight="false" outlineLevel="0" collapsed="false"/>
    <row r="1047175" customFormat="false" ht="12.8" hidden="false" customHeight="false" outlineLevel="0" collapsed="false"/>
    <row r="1047176" customFormat="false" ht="12.8" hidden="false" customHeight="false" outlineLevel="0" collapsed="false"/>
    <row r="1047177" customFormat="false" ht="12.8" hidden="false" customHeight="false" outlineLevel="0" collapsed="false"/>
    <row r="1047178" customFormat="false" ht="12.8" hidden="false" customHeight="false" outlineLevel="0" collapsed="false"/>
    <row r="1047179" customFormat="false" ht="12.8" hidden="false" customHeight="false" outlineLevel="0" collapsed="false"/>
    <row r="1047180" customFormat="false" ht="12.8" hidden="false" customHeight="false" outlineLevel="0" collapsed="false"/>
    <row r="1047181" customFormat="false" ht="12.8" hidden="false" customHeight="false" outlineLevel="0" collapsed="false"/>
    <row r="1047182" customFormat="false" ht="12.8" hidden="false" customHeight="false" outlineLevel="0" collapsed="false"/>
    <row r="1047183" customFormat="false" ht="12.8" hidden="false" customHeight="false" outlineLevel="0" collapsed="false"/>
    <row r="1047184" customFormat="false" ht="12.8" hidden="false" customHeight="false" outlineLevel="0" collapsed="false"/>
    <row r="1047185" customFormat="false" ht="12.8" hidden="false" customHeight="false" outlineLevel="0" collapsed="false"/>
    <row r="1047186" customFormat="false" ht="12.8" hidden="false" customHeight="false" outlineLevel="0" collapsed="false"/>
    <row r="1047187" customFormat="false" ht="12.8" hidden="false" customHeight="false" outlineLevel="0" collapsed="false"/>
    <row r="1047188" customFormat="false" ht="12.8" hidden="false" customHeight="false" outlineLevel="0" collapsed="false"/>
    <row r="1047189" customFormat="false" ht="12.8" hidden="false" customHeight="false" outlineLevel="0" collapsed="false"/>
    <row r="1047190" customFormat="false" ht="12.8" hidden="false" customHeight="false" outlineLevel="0" collapsed="false"/>
    <row r="1047191" customFormat="false" ht="12.8" hidden="false" customHeight="false" outlineLevel="0" collapsed="false"/>
    <row r="1047192" customFormat="false" ht="12.8" hidden="false" customHeight="false" outlineLevel="0" collapsed="false"/>
    <row r="1047193" customFormat="false" ht="12.8" hidden="false" customHeight="false" outlineLevel="0" collapsed="false"/>
    <row r="1047194" customFormat="false" ht="12.8" hidden="false" customHeight="false" outlineLevel="0" collapsed="false"/>
    <row r="1047195" customFormat="false" ht="12.8" hidden="false" customHeight="false" outlineLevel="0" collapsed="false"/>
    <row r="1047196" customFormat="false" ht="12.8" hidden="false" customHeight="false" outlineLevel="0" collapsed="false"/>
    <row r="1047197" customFormat="false" ht="12.8" hidden="false" customHeight="false" outlineLevel="0" collapsed="false"/>
    <row r="1047198" customFormat="false" ht="12.8" hidden="false" customHeight="false" outlineLevel="0" collapsed="false"/>
    <row r="1047199" customFormat="false" ht="12.8" hidden="false" customHeight="false" outlineLevel="0" collapsed="false"/>
    <row r="1047200" customFormat="false" ht="12.8" hidden="false" customHeight="false" outlineLevel="0" collapsed="false"/>
    <row r="1047201" customFormat="false" ht="12.8" hidden="false" customHeight="false" outlineLevel="0" collapsed="false"/>
    <row r="1047202" customFormat="false" ht="12.8" hidden="false" customHeight="false" outlineLevel="0" collapsed="false"/>
    <row r="1047203" customFormat="false" ht="12.8" hidden="false" customHeight="false" outlineLevel="0" collapsed="false"/>
    <row r="1047204" customFormat="false" ht="12.8" hidden="false" customHeight="false" outlineLevel="0" collapsed="false"/>
    <row r="1047205" customFormat="false" ht="12.8" hidden="false" customHeight="false" outlineLevel="0" collapsed="false"/>
    <row r="1047206" customFormat="false" ht="12.8" hidden="false" customHeight="false" outlineLevel="0" collapsed="false"/>
    <row r="1047207" customFormat="false" ht="12.8" hidden="false" customHeight="false" outlineLevel="0" collapsed="false"/>
    <row r="1047208" customFormat="false" ht="12.8" hidden="false" customHeight="false" outlineLevel="0" collapsed="false"/>
    <row r="1047209" customFormat="false" ht="12.8" hidden="false" customHeight="false" outlineLevel="0" collapsed="false"/>
    <row r="1047210" customFormat="false" ht="12.8" hidden="false" customHeight="false" outlineLevel="0" collapsed="false"/>
    <row r="1047211" customFormat="false" ht="12.8" hidden="false" customHeight="false" outlineLevel="0" collapsed="false"/>
    <row r="1047212" customFormat="false" ht="12.8" hidden="false" customHeight="false" outlineLevel="0" collapsed="false"/>
    <row r="1047213" customFormat="false" ht="12.8" hidden="false" customHeight="false" outlineLevel="0" collapsed="false"/>
    <row r="1047214" customFormat="false" ht="12.8" hidden="false" customHeight="false" outlineLevel="0" collapsed="false"/>
    <row r="1047215" customFormat="false" ht="12.8" hidden="false" customHeight="false" outlineLevel="0" collapsed="false"/>
    <row r="1047216" customFormat="false" ht="12.8" hidden="false" customHeight="false" outlineLevel="0" collapsed="false"/>
    <row r="1047217" customFormat="false" ht="12.8" hidden="false" customHeight="false" outlineLevel="0" collapsed="false"/>
    <row r="1047218" customFormat="false" ht="12.8" hidden="false" customHeight="false" outlineLevel="0" collapsed="false"/>
    <row r="1047219" customFormat="false" ht="12.8" hidden="false" customHeight="false" outlineLevel="0" collapsed="false"/>
    <row r="1047220" customFormat="false" ht="12.8" hidden="false" customHeight="false" outlineLevel="0" collapsed="false"/>
    <row r="1047221" customFormat="false" ht="12.8" hidden="false" customHeight="false" outlineLevel="0" collapsed="false"/>
    <row r="1047222" customFormat="false" ht="12.8" hidden="false" customHeight="false" outlineLevel="0" collapsed="false"/>
    <row r="1047223" customFormat="false" ht="12.8" hidden="false" customHeight="false" outlineLevel="0" collapsed="false"/>
    <row r="1047224" customFormat="false" ht="12.8" hidden="false" customHeight="false" outlineLevel="0" collapsed="false"/>
    <row r="1047225" customFormat="false" ht="12.8" hidden="false" customHeight="false" outlineLevel="0" collapsed="false"/>
    <row r="1047226" customFormat="false" ht="12.8" hidden="false" customHeight="false" outlineLevel="0" collapsed="false"/>
    <row r="1047227" customFormat="false" ht="12.8" hidden="false" customHeight="false" outlineLevel="0" collapsed="false"/>
    <row r="1047228" customFormat="false" ht="12.8" hidden="false" customHeight="false" outlineLevel="0" collapsed="false"/>
    <row r="1047229" customFormat="false" ht="12.8" hidden="false" customHeight="false" outlineLevel="0" collapsed="false"/>
    <row r="1047230" customFormat="false" ht="12.8" hidden="false" customHeight="false" outlineLevel="0" collapsed="false"/>
    <row r="1047231" customFormat="false" ht="12.8" hidden="false" customHeight="false" outlineLevel="0" collapsed="false"/>
    <row r="1047232" customFormat="false" ht="12.8" hidden="false" customHeight="false" outlineLevel="0" collapsed="false"/>
    <row r="1047233" customFormat="false" ht="12.8" hidden="false" customHeight="false" outlineLevel="0" collapsed="false"/>
    <row r="1047234" customFormat="false" ht="12.8" hidden="false" customHeight="false" outlineLevel="0" collapsed="false"/>
    <row r="1047235" customFormat="false" ht="12.8" hidden="false" customHeight="false" outlineLevel="0" collapsed="false"/>
    <row r="1047236" customFormat="false" ht="12.8" hidden="false" customHeight="false" outlineLevel="0" collapsed="false"/>
    <row r="1047237" customFormat="false" ht="12.8" hidden="false" customHeight="false" outlineLevel="0" collapsed="false"/>
    <row r="1047238" customFormat="false" ht="12.8" hidden="false" customHeight="false" outlineLevel="0" collapsed="false"/>
    <row r="1047239" customFormat="false" ht="12.8" hidden="false" customHeight="false" outlineLevel="0" collapsed="false"/>
    <row r="1047240" customFormat="false" ht="12.8" hidden="false" customHeight="false" outlineLevel="0" collapsed="false"/>
    <row r="1047241" customFormat="false" ht="12.8" hidden="false" customHeight="false" outlineLevel="0" collapsed="false"/>
    <row r="1047242" customFormat="false" ht="12.8" hidden="false" customHeight="false" outlineLevel="0" collapsed="false"/>
    <row r="1047243" customFormat="false" ht="12.8" hidden="false" customHeight="false" outlineLevel="0" collapsed="false"/>
    <row r="1047244" customFormat="false" ht="12.8" hidden="false" customHeight="false" outlineLevel="0" collapsed="false"/>
    <row r="1047245" customFormat="false" ht="12.8" hidden="false" customHeight="false" outlineLevel="0" collapsed="false"/>
    <row r="1047246" customFormat="false" ht="12.8" hidden="false" customHeight="false" outlineLevel="0" collapsed="false"/>
    <row r="1047247" customFormat="false" ht="12.8" hidden="false" customHeight="false" outlineLevel="0" collapsed="false"/>
    <row r="1047248" customFormat="false" ht="12.8" hidden="false" customHeight="false" outlineLevel="0" collapsed="false"/>
    <row r="1047249" customFormat="false" ht="12.8" hidden="false" customHeight="false" outlineLevel="0" collapsed="false"/>
    <row r="1047250" customFormat="false" ht="12.8" hidden="false" customHeight="false" outlineLevel="0" collapsed="false"/>
    <row r="1047251" customFormat="false" ht="12.8" hidden="false" customHeight="false" outlineLevel="0" collapsed="false"/>
    <row r="1047252" customFormat="false" ht="12.8" hidden="false" customHeight="false" outlineLevel="0" collapsed="false"/>
    <row r="1047253" customFormat="false" ht="12.8" hidden="false" customHeight="false" outlineLevel="0" collapsed="false"/>
    <row r="1047254" customFormat="false" ht="12.8" hidden="false" customHeight="false" outlineLevel="0" collapsed="false"/>
    <row r="1047255" customFormat="false" ht="12.8" hidden="false" customHeight="false" outlineLevel="0" collapsed="false"/>
    <row r="1047256" customFormat="false" ht="12.8" hidden="false" customHeight="false" outlineLevel="0" collapsed="false"/>
    <row r="1047257" customFormat="false" ht="12.8" hidden="false" customHeight="false" outlineLevel="0" collapsed="false"/>
    <row r="1047258" customFormat="false" ht="12.8" hidden="false" customHeight="false" outlineLevel="0" collapsed="false"/>
    <row r="1047259" customFormat="false" ht="12.8" hidden="false" customHeight="false" outlineLevel="0" collapsed="false"/>
    <row r="1047260" customFormat="false" ht="12.8" hidden="false" customHeight="false" outlineLevel="0" collapsed="false"/>
    <row r="1047261" customFormat="false" ht="12.8" hidden="false" customHeight="false" outlineLevel="0" collapsed="false"/>
    <row r="1047262" customFormat="false" ht="12.8" hidden="false" customHeight="false" outlineLevel="0" collapsed="false"/>
    <row r="1047263" customFormat="false" ht="12.8" hidden="false" customHeight="false" outlineLevel="0" collapsed="false"/>
    <row r="1047264" customFormat="false" ht="12.8" hidden="false" customHeight="false" outlineLevel="0" collapsed="false"/>
    <row r="1047265" customFormat="false" ht="12.8" hidden="false" customHeight="false" outlineLevel="0" collapsed="false"/>
    <row r="1047266" customFormat="false" ht="12.8" hidden="false" customHeight="false" outlineLevel="0" collapsed="false"/>
    <row r="1047267" customFormat="false" ht="12.8" hidden="false" customHeight="false" outlineLevel="0" collapsed="false"/>
    <row r="1047268" customFormat="false" ht="12.8" hidden="false" customHeight="false" outlineLevel="0" collapsed="false"/>
    <row r="1047269" customFormat="false" ht="12.8" hidden="false" customHeight="false" outlineLevel="0" collapsed="false"/>
    <row r="1047270" customFormat="false" ht="12.8" hidden="false" customHeight="false" outlineLevel="0" collapsed="false"/>
    <row r="1047271" customFormat="false" ht="12.8" hidden="false" customHeight="false" outlineLevel="0" collapsed="false"/>
    <row r="1047272" customFormat="false" ht="12.8" hidden="false" customHeight="false" outlineLevel="0" collapsed="false"/>
    <row r="1047273" customFormat="false" ht="12.8" hidden="false" customHeight="false" outlineLevel="0" collapsed="false"/>
    <row r="1047274" customFormat="false" ht="12.8" hidden="false" customHeight="false" outlineLevel="0" collapsed="false"/>
    <row r="1047275" customFormat="false" ht="12.8" hidden="false" customHeight="false" outlineLevel="0" collapsed="false"/>
    <row r="1047276" customFormat="false" ht="12.8" hidden="false" customHeight="false" outlineLevel="0" collapsed="false"/>
    <row r="1047277" customFormat="false" ht="12.8" hidden="false" customHeight="false" outlineLevel="0" collapsed="false"/>
    <row r="1047278" customFormat="false" ht="12.8" hidden="false" customHeight="false" outlineLevel="0" collapsed="false"/>
    <row r="1047279" customFormat="false" ht="12.8" hidden="false" customHeight="false" outlineLevel="0" collapsed="false"/>
    <row r="1047280" customFormat="false" ht="12.8" hidden="false" customHeight="false" outlineLevel="0" collapsed="false"/>
    <row r="1047281" customFormat="false" ht="12.8" hidden="false" customHeight="false" outlineLevel="0" collapsed="false"/>
    <row r="1047282" customFormat="false" ht="12.8" hidden="false" customHeight="false" outlineLevel="0" collapsed="false"/>
    <row r="1047283" customFormat="false" ht="12.8" hidden="false" customHeight="false" outlineLevel="0" collapsed="false"/>
    <row r="1047284" customFormat="false" ht="12.8" hidden="false" customHeight="false" outlineLevel="0" collapsed="false"/>
    <row r="1047285" customFormat="false" ht="12.8" hidden="false" customHeight="false" outlineLevel="0" collapsed="false"/>
    <row r="1047286" customFormat="false" ht="12.8" hidden="false" customHeight="false" outlineLevel="0" collapsed="false"/>
    <row r="1047287" customFormat="false" ht="12.8" hidden="false" customHeight="false" outlineLevel="0" collapsed="false"/>
    <row r="1047288" customFormat="false" ht="12.8" hidden="false" customHeight="false" outlineLevel="0" collapsed="false"/>
    <row r="1047289" customFormat="false" ht="12.8" hidden="false" customHeight="false" outlineLevel="0" collapsed="false"/>
    <row r="1047290" customFormat="false" ht="12.8" hidden="false" customHeight="false" outlineLevel="0" collapsed="false"/>
    <row r="1047291" customFormat="false" ht="12.8" hidden="false" customHeight="false" outlineLevel="0" collapsed="false"/>
    <row r="1047292" customFormat="false" ht="12.8" hidden="false" customHeight="false" outlineLevel="0" collapsed="false"/>
    <row r="1047293" customFormat="false" ht="12.8" hidden="false" customHeight="false" outlineLevel="0" collapsed="false"/>
    <row r="1047294" customFormat="false" ht="12.8" hidden="false" customHeight="false" outlineLevel="0" collapsed="false"/>
    <row r="1047295" customFormat="false" ht="12.8" hidden="false" customHeight="false" outlineLevel="0" collapsed="false"/>
    <row r="1047296" customFormat="false" ht="12.8" hidden="false" customHeight="false" outlineLevel="0" collapsed="false"/>
    <row r="1047297" customFormat="false" ht="12.8" hidden="false" customHeight="false" outlineLevel="0" collapsed="false"/>
    <row r="1047298" customFormat="false" ht="12.8" hidden="false" customHeight="false" outlineLevel="0" collapsed="false"/>
    <row r="1047299" customFormat="false" ht="12.8" hidden="false" customHeight="false" outlineLevel="0" collapsed="false"/>
    <row r="1047300" customFormat="false" ht="12.8" hidden="false" customHeight="false" outlineLevel="0" collapsed="false"/>
    <row r="1047301" customFormat="false" ht="12.8" hidden="false" customHeight="false" outlineLevel="0" collapsed="false"/>
    <row r="1047302" customFormat="false" ht="12.8" hidden="false" customHeight="false" outlineLevel="0" collapsed="false"/>
    <row r="1047303" customFormat="false" ht="12.8" hidden="false" customHeight="false" outlineLevel="0" collapsed="false"/>
    <row r="1047304" customFormat="false" ht="12.8" hidden="false" customHeight="false" outlineLevel="0" collapsed="false"/>
    <row r="1047305" customFormat="false" ht="12.8" hidden="false" customHeight="false" outlineLevel="0" collapsed="false"/>
    <row r="1047306" customFormat="false" ht="12.8" hidden="false" customHeight="false" outlineLevel="0" collapsed="false"/>
    <row r="1047307" customFormat="false" ht="12.8" hidden="false" customHeight="false" outlineLevel="0" collapsed="false"/>
    <row r="1047308" customFormat="false" ht="12.8" hidden="false" customHeight="false" outlineLevel="0" collapsed="false"/>
    <row r="1047309" customFormat="false" ht="12.8" hidden="false" customHeight="false" outlineLevel="0" collapsed="false"/>
    <row r="1047310" customFormat="false" ht="12.8" hidden="false" customHeight="false" outlineLevel="0" collapsed="false"/>
    <row r="1047311" customFormat="false" ht="12.8" hidden="false" customHeight="false" outlineLevel="0" collapsed="false"/>
    <row r="1047312" customFormat="false" ht="12.8" hidden="false" customHeight="false" outlineLevel="0" collapsed="false"/>
    <row r="1047313" customFormat="false" ht="12.8" hidden="false" customHeight="false" outlineLevel="0" collapsed="false"/>
    <row r="1047314" customFormat="false" ht="12.8" hidden="false" customHeight="false" outlineLevel="0" collapsed="false"/>
    <row r="1047315" customFormat="false" ht="12.8" hidden="false" customHeight="false" outlineLevel="0" collapsed="false"/>
    <row r="1047316" customFormat="false" ht="12.8" hidden="false" customHeight="false" outlineLevel="0" collapsed="false"/>
    <row r="1047317" customFormat="false" ht="12.8" hidden="false" customHeight="false" outlineLevel="0" collapsed="false"/>
    <row r="1047318" customFormat="false" ht="12.8" hidden="false" customHeight="false" outlineLevel="0" collapsed="false"/>
    <row r="1047319" customFormat="false" ht="12.8" hidden="false" customHeight="false" outlineLevel="0" collapsed="false"/>
    <row r="1047320" customFormat="false" ht="12.8" hidden="false" customHeight="false" outlineLevel="0" collapsed="false"/>
    <row r="1047321" customFormat="false" ht="12.8" hidden="false" customHeight="false" outlineLevel="0" collapsed="false"/>
    <row r="1047322" customFormat="false" ht="12.8" hidden="false" customHeight="false" outlineLevel="0" collapsed="false"/>
    <row r="1047323" customFormat="false" ht="12.8" hidden="false" customHeight="false" outlineLevel="0" collapsed="false"/>
    <row r="1047324" customFormat="false" ht="12.8" hidden="false" customHeight="false" outlineLevel="0" collapsed="false"/>
    <row r="1047325" customFormat="false" ht="12.8" hidden="false" customHeight="false" outlineLevel="0" collapsed="false"/>
    <row r="1047326" customFormat="false" ht="12.8" hidden="false" customHeight="false" outlineLevel="0" collapsed="false"/>
    <row r="1047327" customFormat="false" ht="12.8" hidden="false" customHeight="false" outlineLevel="0" collapsed="false"/>
    <row r="1047328" customFormat="false" ht="12.8" hidden="false" customHeight="false" outlineLevel="0" collapsed="false"/>
    <row r="1047329" customFormat="false" ht="12.8" hidden="false" customHeight="false" outlineLevel="0" collapsed="false"/>
    <row r="1047330" customFormat="false" ht="12.8" hidden="false" customHeight="false" outlineLevel="0" collapsed="false"/>
    <row r="1047331" customFormat="false" ht="12.8" hidden="false" customHeight="false" outlineLevel="0" collapsed="false"/>
    <row r="1047332" customFormat="false" ht="12.8" hidden="false" customHeight="false" outlineLevel="0" collapsed="false"/>
    <row r="1047333" customFormat="false" ht="12.8" hidden="false" customHeight="false" outlineLevel="0" collapsed="false"/>
    <row r="1047334" customFormat="false" ht="12.8" hidden="false" customHeight="false" outlineLevel="0" collapsed="false"/>
    <row r="1047335" customFormat="false" ht="12.8" hidden="false" customHeight="false" outlineLevel="0" collapsed="false"/>
    <row r="1047336" customFormat="false" ht="12.8" hidden="false" customHeight="false" outlineLevel="0" collapsed="false"/>
    <row r="1047337" customFormat="false" ht="12.8" hidden="false" customHeight="false" outlineLevel="0" collapsed="false"/>
    <row r="1047338" customFormat="false" ht="12.8" hidden="false" customHeight="false" outlineLevel="0" collapsed="false"/>
    <row r="1047339" customFormat="false" ht="12.8" hidden="false" customHeight="false" outlineLevel="0" collapsed="false"/>
    <row r="1047340" customFormat="false" ht="12.8" hidden="false" customHeight="false" outlineLevel="0" collapsed="false"/>
    <row r="1047341" customFormat="false" ht="12.8" hidden="false" customHeight="false" outlineLevel="0" collapsed="false"/>
    <row r="1047342" customFormat="false" ht="12.8" hidden="false" customHeight="false" outlineLevel="0" collapsed="false"/>
    <row r="1047343" customFormat="false" ht="12.8" hidden="false" customHeight="false" outlineLevel="0" collapsed="false"/>
    <row r="1047344" customFormat="false" ht="12.8" hidden="false" customHeight="false" outlineLevel="0" collapsed="false"/>
    <row r="1047345" customFormat="false" ht="12.8" hidden="false" customHeight="false" outlineLevel="0" collapsed="false"/>
    <row r="1047346" customFormat="false" ht="12.8" hidden="false" customHeight="false" outlineLevel="0" collapsed="false"/>
    <row r="1047347" customFormat="false" ht="12.8" hidden="false" customHeight="false" outlineLevel="0" collapsed="false"/>
    <row r="1047348" customFormat="false" ht="12.8" hidden="false" customHeight="false" outlineLevel="0" collapsed="false"/>
    <row r="1047349" customFormat="false" ht="12.8" hidden="false" customHeight="false" outlineLevel="0" collapsed="false"/>
    <row r="1047350" customFormat="false" ht="12.8" hidden="false" customHeight="false" outlineLevel="0" collapsed="false"/>
    <row r="1047351" customFormat="false" ht="12.8" hidden="false" customHeight="false" outlineLevel="0" collapsed="false"/>
    <row r="1047352" customFormat="false" ht="12.8" hidden="false" customHeight="false" outlineLevel="0" collapsed="false"/>
    <row r="1047353" customFormat="false" ht="12.8" hidden="false" customHeight="false" outlineLevel="0" collapsed="false"/>
    <row r="1047354" customFormat="false" ht="12.8" hidden="false" customHeight="false" outlineLevel="0" collapsed="false"/>
    <row r="1047355" customFormat="false" ht="12.8" hidden="false" customHeight="false" outlineLevel="0" collapsed="false"/>
    <row r="1047356" customFormat="false" ht="12.8" hidden="false" customHeight="false" outlineLevel="0" collapsed="false"/>
    <row r="1047357" customFormat="false" ht="12.8" hidden="false" customHeight="false" outlineLevel="0" collapsed="false"/>
    <row r="1047358" customFormat="false" ht="12.8" hidden="false" customHeight="false" outlineLevel="0" collapsed="false"/>
    <row r="1047359" customFormat="false" ht="12.8" hidden="false" customHeight="false" outlineLevel="0" collapsed="false"/>
    <row r="1047360" customFormat="false" ht="12.8" hidden="false" customHeight="false" outlineLevel="0" collapsed="false"/>
    <row r="1047361" customFormat="false" ht="12.8" hidden="false" customHeight="false" outlineLevel="0" collapsed="false"/>
    <row r="1047362" customFormat="false" ht="12.8" hidden="false" customHeight="false" outlineLevel="0" collapsed="false"/>
    <row r="1047363" customFormat="false" ht="12.8" hidden="false" customHeight="false" outlineLevel="0" collapsed="false"/>
    <row r="1047364" customFormat="false" ht="12.8" hidden="false" customHeight="false" outlineLevel="0" collapsed="false"/>
    <row r="1047365" customFormat="false" ht="12.8" hidden="false" customHeight="false" outlineLevel="0" collapsed="false"/>
    <row r="1047366" customFormat="false" ht="12.8" hidden="false" customHeight="false" outlineLevel="0" collapsed="false"/>
    <row r="1047367" customFormat="false" ht="12.8" hidden="false" customHeight="false" outlineLevel="0" collapsed="false"/>
    <row r="1047368" customFormat="false" ht="12.8" hidden="false" customHeight="false" outlineLevel="0" collapsed="false"/>
    <row r="1047369" customFormat="false" ht="12.8" hidden="false" customHeight="false" outlineLevel="0" collapsed="false"/>
    <row r="1047370" customFormat="false" ht="12.8" hidden="false" customHeight="false" outlineLevel="0" collapsed="false"/>
    <row r="1047371" customFormat="false" ht="12.8" hidden="false" customHeight="false" outlineLevel="0" collapsed="false"/>
    <row r="1047372" customFormat="false" ht="12.8" hidden="false" customHeight="false" outlineLevel="0" collapsed="false"/>
    <row r="1047373" customFormat="false" ht="12.8" hidden="false" customHeight="false" outlineLevel="0" collapsed="false"/>
    <row r="1047374" customFormat="false" ht="12.8" hidden="false" customHeight="false" outlineLevel="0" collapsed="false"/>
    <row r="1047375" customFormat="false" ht="12.8" hidden="false" customHeight="false" outlineLevel="0" collapsed="false"/>
    <row r="1047376" customFormat="false" ht="12.8" hidden="false" customHeight="false" outlineLevel="0" collapsed="false"/>
    <row r="1047377" customFormat="false" ht="12.8" hidden="false" customHeight="false" outlineLevel="0" collapsed="false"/>
    <row r="1047378" customFormat="false" ht="12.8" hidden="false" customHeight="false" outlineLevel="0" collapsed="false"/>
    <row r="1047379" customFormat="false" ht="12.8" hidden="false" customHeight="false" outlineLevel="0" collapsed="false"/>
    <row r="1047380" customFormat="false" ht="12.8" hidden="false" customHeight="false" outlineLevel="0" collapsed="false"/>
    <row r="1047381" customFormat="false" ht="12.8" hidden="false" customHeight="false" outlineLevel="0" collapsed="false"/>
    <row r="1047382" customFormat="false" ht="12.8" hidden="false" customHeight="false" outlineLevel="0" collapsed="false"/>
    <row r="1047383" customFormat="false" ht="12.8" hidden="false" customHeight="false" outlineLevel="0" collapsed="false"/>
    <row r="1047384" customFormat="false" ht="12.8" hidden="false" customHeight="false" outlineLevel="0" collapsed="false"/>
    <row r="1047385" customFormat="false" ht="12.8" hidden="false" customHeight="false" outlineLevel="0" collapsed="false"/>
    <row r="1047386" customFormat="false" ht="12.8" hidden="false" customHeight="false" outlineLevel="0" collapsed="false"/>
    <row r="1047387" customFormat="false" ht="12.8" hidden="false" customHeight="false" outlineLevel="0" collapsed="false"/>
    <row r="1047388" customFormat="false" ht="12.8" hidden="false" customHeight="false" outlineLevel="0" collapsed="false"/>
    <row r="1047389" customFormat="false" ht="12.8" hidden="false" customHeight="false" outlineLevel="0" collapsed="false"/>
    <row r="1047390" customFormat="false" ht="12.8" hidden="false" customHeight="false" outlineLevel="0" collapsed="false"/>
    <row r="1047391" customFormat="false" ht="12.8" hidden="false" customHeight="false" outlineLevel="0" collapsed="false"/>
    <row r="1047392" customFormat="false" ht="12.8" hidden="false" customHeight="false" outlineLevel="0" collapsed="false"/>
    <row r="1047393" customFormat="false" ht="12.8" hidden="false" customHeight="false" outlineLevel="0" collapsed="false"/>
    <row r="1047394" customFormat="false" ht="12.8" hidden="false" customHeight="false" outlineLevel="0" collapsed="false"/>
    <row r="1047395" customFormat="false" ht="12.8" hidden="false" customHeight="false" outlineLevel="0" collapsed="false"/>
    <row r="1047396" customFormat="false" ht="12.8" hidden="false" customHeight="false" outlineLevel="0" collapsed="false"/>
    <row r="1047397" customFormat="false" ht="12.8" hidden="false" customHeight="false" outlineLevel="0" collapsed="false"/>
    <row r="1047398" customFormat="false" ht="12.8" hidden="false" customHeight="false" outlineLevel="0" collapsed="false"/>
    <row r="1047399" customFormat="false" ht="12.8" hidden="false" customHeight="false" outlineLevel="0" collapsed="false"/>
    <row r="1047400" customFormat="false" ht="12.8" hidden="false" customHeight="false" outlineLevel="0" collapsed="false"/>
    <row r="1047401" customFormat="false" ht="12.8" hidden="false" customHeight="false" outlineLevel="0" collapsed="false"/>
    <row r="1047402" customFormat="false" ht="12.8" hidden="false" customHeight="false" outlineLevel="0" collapsed="false"/>
    <row r="1047403" customFormat="false" ht="12.8" hidden="false" customHeight="false" outlineLevel="0" collapsed="false"/>
    <row r="1047404" customFormat="false" ht="12.8" hidden="false" customHeight="false" outlineLevel="0" collapsed="false"/>
    <row r="1047405" customFormat="false" ht="12.8" hidden="false" customHeight="false" outlineLevel="0" collapsed="false"/>
    <row r="1047406" customFormat="false" ht="12.8" hidden="false" customHeight="false" outlineLevel="0" collapsed="false"/>
    <row r="1047407" customFormat="false" ht="12.8" hidden="false" customHeight="false" outlineLevel="0" collapsed="false"/>
    <row r="1047408" customFormat="false" ht="12.8" hidden="false" customHeight="false" outlineLevel="0" collapsed="false"/>
    <row r="1047409" customFormat="false" ht="12.8" hidden="false" customHeight="false" outlineLevel="0" collapsed="false"/>
    <row r="1047410" customFormat="false" ht="12.8" hidden="false" customHeight="false" outlineLevel="0" collapsed="false"/>
    <row r="1047411" customFormat="false" ht="12.8" hidden="false" customHeight="false" outlineLevel="0" collapsed="false"/>
    <row r="1047412" customFormat="false" ht="12.8" hidden="false" customHeight="false" outlineLevel="0" collapsed="false"/>
    <row r="1047413" customFormat="false" ht="12.8" hidden="false" customHeight="false" outlineLevel="0" collapsed="false"/>
    <row r="1047414" customFormat="false" ht="12.8" hidden="false" customHeight="false" outlineLevel="0" collapsed="false"/>
    <row r="1047415" customFormat="false" ht="12.8" hidden="false" customHeight="false" outlineLevel="0" collapsed="false"/>
    <row r="1047416" customFormat="false" ht="12.8" hidden="false" customHeight="false" outlineLevel="0" collapsed="false"/>
    <row r="1047417" customFormat="false" ht="12.8" hidden="false" customHeight="false" outlineLevel="0" collapsed="false"/>
    <row r="1047418" customFormat="false" ht="12.8" hidden="false" customHeight="false" outlineLevel="0" collapsed="false"/>
    <row r="1047419" customFormat="false" ht="12.8" hidden="false" customHeight="false" outlineLevel="0" collapsed="false"/>
    <row r="1047420" customFormat="false" ht="12.8" hidden="false" customHeight="false" outlineLevel="0" collapsed="false"/>
    <row r="1047421" customFormat="false" ht="12.8" hidden="false" customHeight="false" outlineLevel="0" collapsed="false"/>
    <row r="1047422" customFormat="false" ht="12.8" hidden="false" customHeight="false" outlineLevel="0" collapsed="false"/>
    <row r="1047423" customFormat="false" ht="12.8" hidden="false" customHeight="false" outlineLevel="0" collapsed="false"/>
    <row r="1047424" customFormat="false" ht="12.8" hidden="false" customHeight="false" outlineLevel="0" collapsed="false"/>
    <row r="1047425" customFormat="false" ht="12.8" hidden="false" customHeight="false" outlineLevel="0" collapsed="false"/>
    <row r="1047426" customFormat="false" ht="12.8" hidden="false" customHeight="false" outlineLevel="0" collapsed="false"/>
    <row r="1047427" customFormat="false" ht="12.8" hidden="false" customHeight="false" outlineLevel="0" collapsed="false"/>
    <row r="1047428" customFormat="false" ht="12.8" hidden="false" customHeight="false" outlineLevel="0" collapsed="false"/>
    <row r="1047429" customFormat="false" ht="12.8" hidden="false" customHeight="false" outlineLevel="0" collapsed="false"/>
    <row r="1047430" customFormat="false" ht="12.8" hidden="false" customHeight="false" outlineLevel="0" collapsed="false"/>
    <row r="1047431" customFormat="false" ht="12.8" hidden="false" customHeight="false" outlineLevel="0" collapsed="false"/>
    <row r="1047432" customFormat="false" ht="12.8" hidden="false" customHeight="false" outlineLevel="0" collapsed="false"/>
    <row r="1047433" customFormat="false" ht="12.8" hidden="false" customHeight="false" outlineLevel="0" collapsed="false"/>
    <row r="1047434" customFormat="false" ht="12.8" hidden="false" customHeight="false" outlineLevel="0" collapsed="false"/>
    <row r="1047435" customFormat="false" ht="12.8" hidden="false" customHeight="false" outlineLevel="0" collapsed="false"/>
    <row r="1047436" customFormat="false" ht="12.8" hidden="false" customHeight="false" outlineLevel="0" collapsed="false"/>
    <row r="1047437" customFormat="false" ht="12.8" hidden="false" customHeight="false" outlineLevel="0" collapsed="false"/>
    <row r="1047438" customFormat="false" ht="12.8" hidden="false" customHeight="false" outlineLevel="0" collapsed="false"/>
    <row r="1047439" customFormat="false" ht="12.8" hidden="false" customHeight="false" outlineLevel="0" collapsed="false"/>
    <row r="1047440" customFormat="false" ht="12.8" hidden="false" customHeight="false" outlineLevel="0" collapsed="false"/>
    <row r="1047441" customFormat="false" ht="12.8" hidden="false" customHeight="false" outlineLevel="0" collapsed="false"/>
    <row r="1047442" customFormat="false" ht="12.8" hidden="false" customHeight="false" outlineLevel="0" collapsed="false"/>
    <row r="1047443" customFormat="false" ht="12.8" hidden="false" customHeight="false" outlineLevel="0" collapsed="false"/>
    <row r="1047444" customFormat="false" ht="12.8" hidden="false" customHeight="false" outlineLevel="0" collapsed="false"/>
    <row r="1047445" customFormat="false" ht="12.8" hidden="false" customHeight="false" outlineLevel="0" collapsed="false"/>
    <row r="1047446" customFormat="false" ht="12.8" hidden="false" customHeight="false" outlineLevel="0" collapsed="false"/>
    <row r="1047447" customFormat="false" ht="12.8" hidden="false" customHeight="false" outlineLevel="0" collapsed="false"/>
    <row r="1047448" customFormat="false" ht="12.8" hidden="false" customHeight="false" outlineLevel="0" collapsed="false"/>
    <row r="1047449" customFormat="false" ht="12.8" hidden="false" customHeight="false" outlineLevel="0" collapsed="false"/>
    <row r="1047450" customFormat="false" ht="12.8" hidden="false" customHeight="false" outlineLevel="0" collapsed="false"/>
    <row r="1047451" customFormat="false" ht="12.8" hidden="false" customHeight="false" outlineLevel="0" collapsed="false"/>
    <row r="1047452" customFormat="false" ht="12.8" hidden="false" customHeight="false" outlineLevel="0" collapsed="false"/>
    <row r="1047453" customFormat="false" ht="12.8" hidden="false" customHeight="false" outlineLevel="0" collapsed="false"/>
    <row r="1047454" customFormat="false" ht="12.8" hidden="false" customHeight="false" outlineLevel="0" collapsed="false"/>
    <row r="1047455" customFormat="false" ht="12.8" hidden="false" customHeight="false" outlineLevel="0" collapsed="false"/>
    <row r="1047456" customFormat="false" ht="12.8" hidden="false" customHeight="false" outlineLevel="0" collapsed="false"/>
    <row r="1047457" customFormat="false" ht="12.8" hidden="false" customHeight="false" outlineLevel="0" collapsed="false"/>
    <row r="1047458" customFormat="false" ht="12.8" hidden="false" customHeight="false" outlineLevel="0" collapsed="false"/>
    <row r="1047459" customFormat="false" ht="12.8" hidden="false" customHeight="false" outlineLevel="0" collapsed="false"/>
    <row r="1047460" customFormat="false" ht="12.8" hidden="false" customHeight="false" outlineLevel="0" collapsed="false"/>
    <row r="1047461" customFormat="false" ht="12.8" hidden="false" customHeight="false" outlineLevel="0" collapsed="false"/>
    <row r="1047462" customFormat="false" ht="12.8" hidden="false" customHeight="false" outlineLevel="0" collapsed="false"/>
    <row r="1047463" customFormat="false" ht="12.8" hidden="false" customHeight="false" outlineLevel="0" collapsed="false"/>
    <row r="1047464" customFormat="false" ht="12.8" hidden="false" customHeight="false" outlineLevel="0" collapsed="false"/>
    <row r="1047465" customFormat="false" ht="12.8" hidden="false" customHeight="false" outlineLevel="0" collapsed="false"/>
    <row r="1047466" customFormat="false" ht="12.8" hidden="false" customHeight="false" outlineLevel="0" collapsed="false"/>
    <row r="1047467" customFormat="false" ht="12.8" hidden="false" customHeight="false" outlineLevel="0" collapsed="false"/>
    <row r="1047468" customFormat="false" ht="12.8" hidden="false" customHeight="false" outlineLevel="0" collapsed="false"/>
    <row r="1047469" customFormat="false" ht="12.8" hidden="false" customHeight="false" outlineLevel="0" collapsed="false"/>
    <row r="1047470" customFormat="false" ht="12.8" hidden="false" customHeight="false" outlineLevel="0" collapsed="false"/>
    <row r="1047471" customFormat="false" ht="12.8" hidden="false" customHeight="false" outlineLevel="0" collapsed="false"/>
    <row r="1047472" customFormat="false" ht="12.8" hidden="false" customHeight="false" outlineLevel="0" collapsed="false"/>
    <row r="1047473" customFormat="false" ht="12.8" hidden="false" customHeight="false" outlineLevel="0" collapsed="false"/>
    <row r="1047474" customFormat="false" ht="12.8" hidden="false" customHeight="false" outlineLevel="0" collapsed="false"/>
    <row r="1047475" customFormat="false" ht="12.8" hidden="false" customHeight="false" outlineLevel="0" collapsed="false"/>
    <row r="1047476" customFormat="false" ht="12.8" hidden="false" customHeight="false" outlineLevel="0" collapsed="false"/>
    <row r="1047477" customFormat="false" ht="12.8" hidden="false" customHeight="false" outlineLevel="0" collapsed="false"/>
    <row r="1047478" customFormat="false" ht="12.8" hidden="false" customHeight="false" outlineLevel="0" collapsed="false"/>
    <row r="1047479" customFormat="false" ht="12.8" hidden="false" customHeight="false" outlineLevel="0" collapsed="false"/>
    <row r="1047480" customFormat="false" ht="12.8" hidden="false" customHeight="false" outlineLevel="0" collapsed="false"/>
    <row r="1047481" customFormat="false" ht="12.8" hidden="false" customHeight="false" outlineLevel="0" collapsed="false"/>
    <row r="1047482" customFormat="false" ht="12.8" hidden="false" customHeight="false" outlineLevel="0" collapsed="false"/>
    <row r="1047483" customFormat="false" ht="12.8" hidden="false" customHeight="false" outlineLevel="0" collapsed="false"/>
    <row r="1047484" customFormat="false" ht="12.8" hidden="false" customHeight="false" outlineLevel="0" collapsed="false"/>
    <row r="1047485" customFormat="false" ht="12.8" hidden="false" customHeight="false" outlineLevel="0" collapsed="false"/>
    <row r="1047486" customFormat="false" ht="12.8" hidden="false" customHeight="false" outlineLevel="0" collapsed="false"/>
    <row r="1047487" customFormat="false" ht="12.8" hidden="false" customHeight="false" outlineLevel="0" collapsed="false"/>
    <row r="1047488" customFormat="false" ht="12.8" hidden="false" customHeight="false" outlineLevel="0" collapsed="false"/>
    <row r="1047489" customFormat="false" ht="12.8" hidden="false" customHeight="false" outlineLevel="0" collapsed="false"/>
    <row r="1047490" customFormat="false" ht="12.8" hidden="false" customHeight="false" outlineLevel="0" collapsed="false"/>
    <row r="1047491" customFormat="false" ht="12.8" hidden="false" customHeight="false" outlineLevel="0" collapsed="false"/>
    <row r="1047492" customFormat="false" ht="12.8" hidden="false" customHeight="false" outlineLevel="0" collapsed="false"/>
    <row r="1047493" customFormat="false" ht="12.8" hidden="false" customHeight="false" outlineLevel="0" collapsed="false"/>
    <row r="1047494" customFormat="false" ht="12.8" hidden="false" customHeight="false" outlineLevel="0" collapsed="false"/>
    <row r="1047495" customFormat="false" ht="12.8" hidden="false" customHeight="false" outlineLevel="0" collapsed="false"/>
    <row r="1047496" customFormat="false" ht="12.8" hidden="false" customHeight="false" outlineLevel="0" collapsed="false"/>
    <row r="1047497" customFormat="false" ht="12.8" hidden="false" customHeight="false" outlineLevel="0" collapsed="false"/>
    <row r="1047498" customFormat="false" ht="12.8" hidden="false" customHeight="false" outlineLevel="0" collapsed="false"/>
    <row r="1047499" customFormat="false" ht="12.8" hidden="false" customHeight="false" outlineLevel="0" collapsed="false"/>
    <row r="1047500" customFormat="false" ht="12.8" hidden="false" customHeight="false" outlineLevel="0" collapsed="false"/>
    <row r="1047501" customFormat="false" ht="12.8" hidden="false" customHeight="false" outlineLevel="0" collapsed="false"/>
    <row r="1047502" customFormat="false" ht="12.8" hidden="false" customHeight="false" outlineLevel="0" collapsed="false"/>
    <row r="1047503" customFormat="false" ht="12.8" hidden="false" customHeight="false" outlineLevel="0" collapsed="false"/>
    <row r="1047504" customFormat="false" ht="12.8" hidden="false" customHeight="false" outlineLevel="0" collapsed="false"/>
    <row r="1047505" customFormat="false" ht="12.8" hidden="false" customHeight="false" outlineLevel="0" collapsed="false"/>
    <row r="1047506" customFormat="false" ht="12.8" hidden="false" customHeight="false" outlineLevel="0" collapsed="false"/>
    <row r="1047507" customFormat="false" ht="12.8" hidden="false" customHeight="false" outlineLevel="0" collapsed="false"/>
    <row r="1047508" customFormat="false" ht="12.8" hidden="false" customHeight="false" outlineLevel="0" collapsed="false"/>
    <row r="1047509" customFormat="false" ht="12.8" hidden="false" customHeight="false" outlineLevel="0" collapsed="false"/>
    <row r="1047510" customFormat="false" ht="12.8" hidden="false" customHeight="false" outlineLevel="0" collapsed="false"/>
    <row r="1047511" customFormat="false" ht="12.8" hidden="false" customHeight="false" outlineLevel="0" collapsed="false"/>
    <row r="1047512" customFormat="false" ht="12.8" hidden="false" customHeight="false" outlineLevel="0" collapsed="false"/>
    <row r="1047513" customFormat="false" ht="12.8" hidden="false" customHeight="false" outlineLevel="0" collapsed="false"/>
    <row r="1047514" customFormat="false" ht="12.8" hidden="false" customHeight="false" outlineLevel="0" collapsed="false"/>
    <row r="1047515" customFormat="false" ht="12.8" hidden="false" customHeight="false" outlineLevel="0" collapsed="false"/>
    <row r="1047516" customFormat="false" ht="12.8" hidden="false" customHeight="false" outlineLevel="0" collapsed="false"/>
    <row r="1047517" customFormat="false" ht="12.8" hidden="false" customHeight="false" outlineLevel="0" collapsed="false"/>
    <row r="1047518" customFormat="false" ht="12.8" hidden="false" customHeight="false" outlineLevel="0" collapsed="false"/>
    <row r="1047519" customFormat="false" ht="12.8" hidden="false" customHeight="false" outlineLevel="0" collapsed="false"/>
    <row r="1047520" customFormat="false" ht="12.8" hidden="false" customHeight="false" outlineLevel="0" collapsed="false"/>
    <row r="1047521" customFormat="false" ht="12.8" hidden="false" customHeight="false" outlineLevel="0" collapsed="false"/>
    <row r="1047522" customFormat="false" ht="12.8" hidden="false" customHeight="false" outlineLevel="0" collapsed="false"/>
    <row r="1047523" customFormat="false" ht="12.8" hidden="false" customHeight="false" outlineLevel="0" collapsed="false"/>
    <row r="1047524" customFormat="false" ht="12.8" hidden="false" customHeight="false" outlineLevel="0" collapsed="false"/>
    <row r="1047525" customFormat="false" ht="12.8" hidden="false" customHeight="false" outlineLevel="0" collapsed="false"/>
    <row r="1047526" customFormat="false" ht="12.8" hidden="false" customHeight="false" outlineLevel="0" collapsed="false"/>
    <row r="1047527" customFormat="false" ht="12.8" hidden="false" customHeight="false" outlineLevel="0" collapsed="false"/>
    <row r="1047528" customFormat="false" ht="12.8" hidden="false" customHeight="false" outlineLevel="0" collapsed="false"/>
    <row r="1047529" customFormat="false" ht="12.8" hidden="false" customHeight="false" outlineLevel="0" collapsed="false"/>
    <row r="1047530" customFormat="false" ht="12.8" hidden="false" customHeight="false" outlineLevel="0" collapsed="false"/>
    <row r="1047531" customFormat="false" ht="12.8" hidden="false" customHeight="false" outlineLevel="0" collapsed="false"/>
    <row r="1047532" customFormat="false" ht="12.8" hidden="false" customHeight="false" outlineLevel="0" collapsed="false"/>
    <row r="1047533" customFormat="false" ht="12.8" hidden="false" customHeight="false" outlineLevel="0" collapsed="false"/>
    <row r="1047534" customFormat="false" ht="12.8" hidden="false" customHeight="false" outlineLevel="0" collapsed="false"/>
    <row r="1047535" customFormat="false" ht="12.8" hidden="false" customHeight="false" outlineLevel="0" collapsed="false"/>
    <row r="1047536" customFormat="false" ht="12.8" hidden="false" customHeight="false" outlineLevel="0" collapsed="false"/>
    <row r="1047537" customFormat="false" ht="12.8" hidden="false" customHeight="false" outlineLevel="0" collapsed="false"/>
    <row r="1047538" customFormat="false" ht="12.8" hidden="false" customHeight="false" outlineLevel="0" collapsed="false"/>
    <row r="1047539" customFormat="false" ht="12.8" hidden="false" customHeight="false" outlineLevel="0" collapsed="false"/>
    <row r="1047540" customFormat="false" ht="12.8" hidden="false" customHeight="false" outlineLevel="0" collapsed="false"/>
    <row r="1047541" customFormat="false" ht="12.8" hidden="false" customHeight="false" outlineLevel="0" collapsed="false"/>
    <row r="1047542" customFormat="false" ht="12.8" hidden="false" customHeight="false" outlineLevel="0" collapsed="false"/>
    <row r="1047543" customFormat="false" ht="12.8" hidden="false" customHeight="false" outlineLevel="0" collapsed="false"/>
    <row r="1047544" customFormat="false" ht="12.8" hidden="false" customHeight="false" outlineLevel="0" collapsed="false"/>
    <row r="1047545" customFormat="false" ht="12.8" hidden="false" customHeight="false" outlineLevel="0" collapsed="false"/>
    <row r="1047546" customFormat="false" ht="12.8" hidden="false" customHeight="false" outlineLevel="0" collapsed="false"/>
    <row r="1047547" customFormat="false" ht="12.8" hidden="false" customHeight="false" outlineLevel="0" collapsed="false"/>
    <row r="1047548" customFormat="false" ht="12.8" hidden="false" customHeight="false" outlineLevel="0" collapsed="false"/>
    <row r="1047549" customFormat="false" ht="12.8" hidden="false" customHeight="false" outlineLevel="0" collapsed="false"/>
    <row r="1047550" customFormat="false" ht="12.8" hidden="false" customHeight="false" outlineLevel="0" collapsed="false"/>
    <row r="1047551" customFormat="false" ht="12.8" hidden="false" customHeight="false" outlineLevel="0" collapsed="false"/>
    <row r="1047552" customFormat="false" ht="12.8" hidden="false" customHeight="false" outlineLevel="0" collapsed="false"/>
    <row r="1047553" customFormat="false" ht="12.8" hidden="false" customHeight="false" outlineLevel="0" collapsed="false"/>
    <row r="1047554" customFormat="false" ht="12.8" hidden="false" customHeight="false" outlineLevel="0" collapsed="false"/>
    <row r="1047555" customFormat="false" ht="12.8" hidden="false" customHeight="false" outlineLevel="0" collapsed="false"/>
    <row r="1047556" customFormat="false" ht="12.8" hidden="false" customHeight="false" outlineLevel="0" collapsed="false"/>
    <row r="1047557" customFormat="false" ht="12.8" hidden="false" customHeight="false" outlineLevel="0" collapsed="false"/>
    <row r="1047558" customFormat="false" ht="12.8" hidden="false" customHeight="false" outlineLevel="0" collapsed="false"/>
    <row r="1047559" customFormat="false" ht="12.8" hidden="false" customHeight="false" outlineLevel="0" collapsed="false"/>
    <row r="1047560" customFormat="false" ht="12.8" hidden="false" customHeight="false" outlineLevel="0" collapsed="false"/>
    <row r="1047561" customFormat="false" ht="12.8" hidden="false" customHeight="false" outlineLevel="0" collapsed="false"/>
    <row r="1047562" customFormat="false" ht="12.8" hidden="false" customHeight="false" outlineLevel="0" collapsed="false"/>
    <row r="1047563" customFormat="false" ht="12.8" hidden="false" customHeight="false" outlineLevel="0" collapsed="false"/>
    <row r="1047564" customFormat="false" ht="12.8" hidden="false" customHeight="false" outlineLevel="0" collapsed="false"/>
    <row r="1047565" customFormat="false" ht="12.8" hidden="false" customHeight="false" outlineLevel="0" collapsed="false"/>
    <row r="1047566" customFormat="false" ht="12.8" hidden="false" customHeight="false" outlineLevel="0" collapsed="false"/>
    <row r="1047567" customFormat="false" ht="12.8" hidden="false" customHeight="false" outlineLevel="0" collapsed="false"/>
    <row r="1047568" customFormat="false" ht="12.8" hidden="false" customHeight="false" outlineLevel="0" collapsed="false"/>
    <row r="1047569" customFormat="false" ht="12.8" hidden="false" customHeight="false" outlineLevel="0" collapsed="false"/>
    <row r="1047570" customFormat="false" ht="12.8" hidden="false" customHeight="false" outlineLevel="0" collapsed="false"/>
    <row r="1047571" customFormat="false" ht="12.8" hidden="false" customHeight="false" outlineLevel="0" collapsed="false"/>
    <row r="1047572" customFormat="false" ht="12.8" hidden="false" customHeight="false" outlineLevel="0" collapsed="false"/>
    <row r="1047573" customFormat="false" ht="12.8" hidden="false" customHeight="false" outlineLevel="0" collapsed="false"/>
    <row r="1047574" customFormat="false" ht="12.8" hidden="false" customHeight="false" outlineLevel="0" collapsed="false"/>
    <row r="1047575" customFormat="false" ht="12.8" hidden="false" customHeight="false" outlineLevel="0" collapsed="false"/>
    <row r="1047576" customFormat="false" ht="12.8" hidden="false" customHeight="false" outlineLevel="0" collapsed="false"/>
    <row r="1047577" customFormat="false" ht="12.8" hidden="false" customHeight="false" outlineLevel="0" collapsed="false"/>
    <row r="1047578" customFormat="false" ht="12.8" hidden="false" customHeight="false" outlineLevel="0" collapsed="false"/>
    <row r="1047579" customFormat="false" ht="12.8" hidden="false" customHeight="false" outlineLevel="0" collapsed="false"/>
    <row r="1047580" customFormat="false" ht="12.8" hidden="false" customHeight="false" outlineLevel="0" collapsed="false"/>
    <row r="1047581" customFormat="false" ht="12.8" hidden="false" customHeight="false" outlineLevel="0" collapsed="false"/>
    <row r="1047582" customFormat="false" ht="12.8" hidden="false" customHeight="false" outlineLevel="0" collapsed="false"/>
    <row r="1047583" customFormat="false" ht="12.8" hidden="false" customHeight="false" outlineLevel="0" collapsed="false"/>
    <row r="1047584" customFormat="false" ht="12.8" hidden="false" customHeight="false" outlineLevel="0" collapsed="false"/>
    <row r="1047585" customFormat="false" ht="12.8" hidden="false" customHeight="false" outlineLevel="0" collapsed="false"/>
    <row r="1047586" customFormat="false" ht="12.8" hidden="false" customHeight="false" outlineLevel="0" collapsed="false"/>
    <row r="1047587" customFormat="false" ht="12.8" hidden="false" customHeight="false" outlineLevel="0" collapsed="false"/>
    <row r="1047588" customFormat="false" ht="12.8" hidden="false" customHeight="false" outlineLevel="0" collapsed="false"/>
    <row r="1047589" customFormat="false" ht="12.8" hidden="false" customHeight="false" outlineLevel="0" collapsed="false"/>
    <row r="1047590" customFormat="false" ht="12.8" hidden="false" customHeight="false" outlineLevel="0" collapsed="false"/>
    <row r="1047591" customFormat="false" ht="12.8" hidden="false" customHeight="false" outlineLevel="0" collapsed="false"/>
    <row r="1047592" customFormat="false" ht="12.8" hidden="false" customHeight="false" outlineLevel="0" collapsed="false"/>
    <row r="1047593" customFormat="false" ht="12.8" hidden="false" customHeight="false" outlineLevel="0" collapsed="false"/>
    <row r="1047594" customFormat="false" ht="12.8" hidden="false" customHeight="false" outlineLevel="0" collapsed="false"/>
    <row r="1047595" customFormat="false" ht="12.8" hidden="false" customHeight="false" outlineLevel="0" collapsed="false"/>
    <row r="1047596" customFormat="false" ht="12.8" hidden="false" customHeight="false" outlineLevel="0" collapsed="false"/>
    <row r="1047597" customFormat="false" ht="12.8" hidden="false" customHeight="false" outlineLevel="0" collapsed="false"/>
    <row r="1047598" customFormat="false" ht="12.8" hidden="false" customHeight="false" outlineLevel="0" collapsed="false"/>
    <row r="1047599" customFormat="false" ht="12.8" hidden="false" customHeight="false" outlineLevel="0" collapsed="false"/>
    <row r="1047600" customFormat="false" ht="12.8" hidden="false" customHeight="false" outlineLevel="0" collapsed="false"/>
    <row r="1047601" customFormat="false" ht="12.8" hidden="false" customHeight="false" outlineLevel="0" collapsed="false"/>
    <row r="1047602" customFormat="false" ht="12.8" hidden="false" customHeight="false" outlineLevel="0" collapsed="false"/>
    <row r="1047603" customFormat="false" ht="12.8" hidden="false" customHeight="false" outlineLevel="0" collapsed="false"/>
    <row r="1047604" customFormat="false" ht="12.8" hidden="false" customHeight="false" outlineLevel="0" collapsed="false"/>
    <row r="1047605" customFormat="false" ht="12.8" hidden="false" customHeight="false" outlineLevel="0" collapsed="false"/>
    <row r="1047606" customFormat="false" ht="12.8" hidden="false" customHeight="false" outlineLevel="0" collapsed="false"/>
    <row r="1047607" customFormat="false" ht="12.8" hidden="false" customHeight="false" outlineLevel="0" collapsed="false"/>
    <row r="1047608" customFormat="false" ht="12.8" hidden="false" customHeight="false" outlineLevel="0" collapsed="false"/>
    <row r="1047609" customFormat="false" ht="12.8" hidden="false" customHeight="false" outlineLevel="0" collapsed="false"/>
    <row r="1047610" customFormat="false" ht="12.8" hidden="false" customHeight="false" outlineLevel="0" collapsed="false"/>
    <row r="1047611" customFormat="false" ht="12.8" hidden="false" customHeight="false" outlineLevel="0" collapsed="false"/>
    <row r="1047612" customFormat="false" ht="12.8" hidden="false" customHeight="false" outlineLevel="0" collapsed="false"/>
    <row r="1047613" customFormat="false" ht="12.8" hidden="false" customHeight="false" outlineLevel="0" collapsed="false"/>
    <row r="1047614" customFormat="false" ht="12.8" hidden="false" customHeight="false" outlineLevel="0" collapsed="false"/>
    <row r="1047615" customFormat="false" ht="12.8" hidden="false" customHeight="false" outlineLevel="0" collapsed="false"/>
    <row r="1047616" customFormat="false" ht="12.8" hidden="false" customHeight="false" outlineLevel="0" collapsed="false"/>
    <row r="1047617" customFormat="false" ht="12.8" hidden="false" customHeight="false" outlineLevel="0" collapsed="false"/>
    <row r="1047618" customFormat="false" ht="12.8" hidden="false" customHeight="false" outlineLevel="0" collapsed="false"/>
    <row r="1047619" customFormat="false" ht="12.8" hidden="false" customHeight="false" outlineLevel="0" collapsed="false"/>
    <row r="1047620" customFormat="false" ht="12.8" hidden="false" customHeight="false" outlineLevel="0" collapsed="false"/>
    <row r="1047621" customFormat="false" ht="12.8" hidden="false" customHeight="false" outlineLevel="0" collapsed="false"/>
    <row r="1047622" customFormat="false" ht="12.8" hidden="false" customHeight="false" outlineLevel="0" collapsed="false"/>
    <row r="1047623" customFormat="false" ht="12.8" hidden="false" customHeight="false" outlineLevel="0" collapsed="false"/>
    <row r="1047624" customFormat="false" ht="12.8" hidden="false" customHeight="false" outlineLevel="0" collapsed="false"/>
    <row r="1047625" customFormat="false" ht="12.8" hidden="false" customHeight="false" outlineLevel="0" collapsed="false"/>
    <row r="1047626" customFormat="false" ht="12.8" hidden="false" customHeight="false" outlineLevel="0" collapsed="false"/>
    <row r="1047627" customFormat="false" ht="12.8" hidden="false" customHeight="false" outlineLevel="0" collapsed="false"/>
    <row r="1047628" customFormat="false" ht="12.8" hidden="false" customHeight="false" outlineLevel="0" collapsed="false"/>
    <row r="1047629" customFormat="false" ht="12.8" hidden="false" customHeight="false" outlineLevel="0" collapsed="false"/>
    <row r="1047630" customFormat="false" ht="12.8" hidden="false" customHeight="false" outlineLevel="0" collapsed="false"/>
    <row r="1047631" customFormat="false" ht="12.8" hidden="false" customHeight="false" outlineLevel="0" collapsed="false"/>
    <row r="1047632" customFormat="false" ht="12.8" hidden="false" customHeight="false" outlineLevel="0" collapsed="false"/>
    <row r="1047633" customFormat="false" ht="12.8" hidden="false" customHeight="false" outlineLevel="0" collapsed="false"/>
    <row r="1047634" customFormat="false" ht="12.8" hidden="false" customHeight="false" outlineLevel="0" collapsed="false"/>
    <row r="1047635" customFormat="false" ht="12.8" hidden="false" customHeight="false" outlineLevel="0" collapsed="false"/>
    <row r="1047636" customFormat="false" ht="12.8" hidden="false" customHeight="false" outlineLevel="0" collapsed="false"/>
    <row r="1047637" customFormat="false" ht="12.8" hidden="false" customHeight="false" outlineLevel="0" collapsed="false"/>
    <row r="1047638" customFormat="false" ht="12.8" hidden="false" customHeight="false" outlineLevel="0" collapsed="false"/>
    <row r="1047639" customFormat="false" ht="12.8" hidden="false" customHeight="false" outlineLevel="0" collapsed="false"/>
    <row r="1047640" customFormat="false" ht="12.8" hidden="false" customHeight="false" outlineLevel="0" collapsed="false"/>
    <row r="1047641" customFormat="false" ht="12.8" hidden="false" customHeight="false" outlineLevel="0" collapsed="false"/>
    <row r="1047642" customFormat="false" ht="12.8" hidden="false" customHeight="false" outlineLevel="0" collapsed="false"/>
    <row r="1047643" customFormat="false" ht="12.8" hidden="false" customHeight="false" outlineLevel="0" collapsed="false"/>
    <row r="1047644" customFormat="false" ht="12.8" hidden="false" customHeight="false" outlineLevel="0" collapsed="false"/>
    <row r="1047645" customFormat="false" ht="12.8" hidden="false" customHeight="false" outlineLevel="0" collapsed="false"/>
    <row r="1047646" customFormat="false" ht="12.8" hidden="false" customHeight="false" outlineLevel="0" collapsed="false"/>
    <row r="1047647" customFormat="false" ht="12.8" hidden="false" customHeight="false" outlineLevel="0" collapsed="false"/>
    <row r="1047648" customFormat="false" ht="12.8" hidden="false" customHeight="false" outlineLevel="0" collapsed="false"/>
    <row r="1047649" customFormat="false" ht="12.8" hidden="false" customHeight="false" outlineLevel="0" collapsed="false"/>
    <row r="1047650" customFormat="false" ht="12.8" hidden="false" customHeight="false" outlineLevel="0" collapsed="false"/>
    <row r="1047651" customFormat="false" ht="12.8" hidden="false" customHeight="false" outlineLevel="0" collapsed="false"/>
    <row r="1047652" customFormat="false" ht="12.8" hidden="false" customHeight="false" outlineLevel="0" collapsed="false"/>
    <row r="1047653" customFormat="false" ht="12.8" hidden="false" customHeight="false" outlineLevel="0" collapsed="false"/>
    <row r="1047654" customFormat="false" ht="12.8" hidden="false" customHeight="false" outlineLevel="0" collapsed="false"/>
    <row r="1047655" customFormat="false" ht="12.8" hidden="false" customHeight="false" outlineLevel="0" collapsed="false"/>
    <row r="1047656" customFormat="false" ht="12.8" hidden="false" customHeight="false" outlineLevel="0" collapsed="false"/>
    <row r="1047657" customFormat="false" ht="12.8" hidden="false" customHeight="false" outlineLevel="0" collapsed="false"/>
    <row r="1047658" customFormat="false" ht="12.8" hidden="false" customHeight="false" outlineLevel="0" collapsed="false"/>
    <row r="1047659" customFormat="false" ht="12.8" hidden="false" customHeight="false" outlineLevel="0" collapsed="false"/>
    <row r="1047660" customFormat="false" ht="12.8" hidden="false" customHeight="false" outlineLevel="0" collapsed="false"/>
    <row r="1047661" customFormat="false" ht="12.8" hidden="false" customHeight="false" outlineLevel="0" collapsed="false"/>
    <row r="1047662" customFormat="false" ht="12.8" hidden="false" customHeight="false" outlineLevel="0" collapsed="false"/>
    <row r="1047663" customFormat="false" ht="12.8" hidden="false" customHeight="false" outlineLevel="0" collapsed="false"/>
    <row r="1047664" customFormat="false" ht="12.8" hidden="false" customHeight="false" outlineLevel="0" collapsed="false"/>
    <row r="1047665" customFormat="false" ht="12.8" hidden="false" customHeight="false" outlineLevel="0" collapsed="false"/>
    <row r="1047666" customFormat="false" ht="12.8" hidden="false" customHeight="false" outlineLevel="0" collapsed="false"/>
    <row r="1047667" customFormat="false" ht="12.8" hidden="false" customHeight="false" outlineLevel="0" collapsed="false"/>
    <row r="1047668" customFormat="false" ht="12.8" hidden="false" customHeight="false" outlineLevel="0" collapsed="false"/>
    <row r="1047669" customFormat="false" ht="12.8" hidden="false" customHeight="false" outlineLevel="0" collapsed="false"/>
    <row r="1047670" customFormat="false" ht="12.8" hidden="false" customHeight="false" outlineLevel="0" collapsed="false"/>
    <row r="1047671" customFormat="false" ht="12.8" hidden="false" customHeight="false" outlineLevel="0" collapsed="false"/>
    <row r="1047672" customFormat="false" ht="12.8" hidden="false" customHeight="false" outlineLevel="0" collapsed="false"/>
    <row r="1047673" customFormat="false" ht="12.8" hidden="false" customHeight="false" outlineLevel="0" collapsed="false"/>
    <row r="1047674" customFormat="false" ht="12.8" hidden="false" customHeight="false" outlineLevel="0" collapsed="false"/>
    <row r="1047675" customFormat="false" ht="12.8" hidden="false" customHeight="false" outlineLevel="0" collapsed="false"/>
    <row r="1047676" customFormat="false" ht="12.8" hidden="false" customHeight="false" outlineLevel="0" collapsed="false"/>
    <row r="1047677" customFormat="false" ht="12.8" hidden="false" customHeight="false" outlineLevel="0" collapsed="false"/>
    <row r="1047678" customFormat="false" ht="12.8" hidden="false" customHeight="false" outlineLevel="0" collapsed="false"/>
    <row r="1047679" customFormat="false" ht="12.8" hidden="false" customHeight="false" outlineLevel="0" collapsed="false"/>
    <row r="1047680" customFormat="false" ht="12.8" hidden="false" customHeight="false" outlineLevel="0" collapsed="false"/>
    <row r="1047681" customFormat="false" ht="12.8" hidden="false" customHeight="false" outlineLevel="0" collapsed="false"/>
    <row r="1047682" customFormat="false" ht="12.8" hidden="false" customHeight="false" outlineLevel="0" collapsed="false"/>
    <row r="1047683" customFormat="false" ht="12.8" hidden="false" customHeight="false" outlineLevel="0" collapsed="false"/>
    <row r="1047684" customFormat="false" ht="12.8" hidden="false" customHeight="false" outlineLevel="0" collapsed="false"/>
    <row r="1047685" customFormat="false" ht="12.8" hidden="false" customHeight="false" outlineLevel="0" collapsed="false"/>
    <row r="1047686" customFormat="false" ht="12.8" hidden="false" customHeight="false" outlineLevel="0" collapsed="false"/>
    <row r="1047687" customFormat="false" ht="12.8" hidden="false" customHeight="false" outlineLevel="0" collapsed="false"/>
    <row r="1047688" customFormat="false" ht="12.8" hidden="false" customHeight="false" outlineLevel="0" collapsed="false"/>
    <row r="1047689" customFormat="false" ht="12.8" hidden="false" customHeight="false" outlineLevel="0" collapsed="false"/>
    <row r="1047690" customFormat="false" ht="12.8" hidden="false" customHeight="false" outlineLevel="0" collapsed="false"/>
    <row r="1047691" customFormat="false" ht="12.8" hidden="false" customHeight="false" outlineLevel="0" collapsed="false"/>
    <row r="1047692" customFormat="false" ht="12.8" hidden="false" customHeight="false" outlineLevel="0" collapsed="false"/>
    <row r="1047693" customFormat="false" ht="12.8" hidden="false" customHeight="false" outlineLevel="0" collapsed="false"/>
    <row r="1047694" customFormat="false" ht="12.8" hidden="false" customHeight="false" outlineLevel="0" collapsed="false"/>
    <row r="1047695" customFormat="false" ht="12.8" hidden="false" customHeight="false" outlineLevel="0" collapsed="false"/>
    <row r="1047696" customFormat="false" ht="12.8" hidden="false" customHeight="false" outlineLevel="0" collapsed="false"/>
    <row r="1047697" customFormat="false" ht="12.8" hidden="false" customHeight="false" outlineLevel="0" collapsed="false"/>
    <row r="1047698" customFormat="false" ht="12.8" hidden="false" customHeight="false" outlineLevel="0" collapsed="false"/>
    <row r="1047699" customFormat="false" ht="12.8" hidden="false" customHeight="false" outlineLevel="0" collapsed="false"/>
    <row r="1047700" customFormat="false" ht="12.8" hidden="false" customHeight="false" outlineLevel="0" collapsed="false"/>
    <row r="1047701" customFormat="false" ht="12.8" hidden="false" customHeight="false" outlineLevel="0" collapsed="false"/>
    <row r="1047702" customFormat="false" ht="12.8" hidden="false" customHeight="false" outlineLevel="0" collapsed="false"/>
    <row r="1047703" customFormat="false" ht="12.8" hidden="false" customHeight="false" outlineLevel="0" collapsed="false"/>
    <row r="1047704" customFormat="false" ht="12.8" hidden="false" customHeight="false" outlineLevel="0" collapsed="false"/>
    <row r="1047705" customFormat="false" ht="12.8" hidden="false" customHeight="false" outlineLevel="0" collapsed="false"/>
    <row r="1047706" customFormat="false" ht="12.8" hidden="false" customHeight="false" outlineLevel="0" collapsed="false"/>
    <row r="1047707" customFormat="false" ht="12.8" hidden="false" customHeight="false" outlineLevel="0" collapsed="false"/>
    <row r="1047708" customFormat="false" ht="12.8" hidden="false" customHeight="false" outlineLevel="0" collapsed="false"/>
    <row r="1047709" customFormat="false" ht="12.8" hidden="false" customHeight="false" outlineLevel="0" collapsed="false"/>
    <row r="1047710" customFormat="false" ht="12.8" hidden="false" customHeight="false" outlineLevel="0" collapsed="false"/>
    <row r="1047711" customFormat="false" ht="12.8" hidden="false" customHeight="false" outlineLevel="0" collapsed="false"/>
    <row r="1047712" customFormat="false" ht="12.8" hidden="false" customHeight="false" outlineLevel="0" collapsed="false"/>
    <row r="1047713" customFormat="false" ht="12.8" hidden="false" customHeight="false" outlineLevel="0" collapsed="false"/>
    <row r="1047714" customFormat="false" ht="12.8" hidden="false" customHeight="false" outlineLevel="0" collapsed="false"/>
    <row r="1047715" customFormat="false" ht="12.8" hidden="false" customHeight="false" outlineLevel="0" collapsed="false"/>
    <row r="1047716" customFormat="false" ht="12.8" hidden="false" customHeight="false" outlineLevel="0" collapsed="false"/>
    <row r="1047717" customFormat="false" ht="12.8" hidden="false" customHeight="false" outlineLevel="0" collapsed="false"/>
    <row r="1047718" customFormat="false" ht="12.8" hidden="false" customHeight="false" outlineLevel="0" collapsed="false"/>
    <row r="1047719" customFormat="false" ht="12.8" hidden="false" customHeight="false" outlineLevel="0" collapsed="false"/>
    <row r="1047720" customFormat="false" ht="12.8" hidden="false" customHeight="false" outlineLevel="0" collapsed="false"/>
    <row r="1047721" customFormat="false" ht="12.8" hidden="false" customHeight="false" outlineLevel="0" collapsed="false"/>
    <row r="1047722" customFormat="false" ht="12.8" hidden="false" customHeight="false" outlineLevel="0" collapsed="false"/>
    <row r="1047723" customFormat="false" ht="12.8" hidden="false" customHeight="false" outlineLevel="0" collapsed="false"/>
    <row r="1047724" customFormat="false" ht="12.8" hidden="false" customHeight="false" outlineLevel="0" collapsed="false"/>
    <row r="1047725" customFormat="false" ht="12.8" hidden="false" customHeight="false" outlineLevel="0" collapsed="false"/>
    <row r="1047726" customFormat="false" ht="12.8" hidden="false" customHeight="false" outlineLevel="0" collapsed="false"/>
    <row r="1047727" customFormat="false" ht="12.8" hidden="false" customHeight="false" outlineLevel="0" collapsed="false"/>
    <row r="1047728" customFormat="false" ht="12.8" hidden="false" customHeight="false" outlineLevel="0" collapsed="false"/>
    <row r="1047729" customFormat="false" ht="12.8" hidden="false" customHeight="false" outlineLevel="0" collapsed="false"/>
    <row r="1047730" customFormat="false" ht="12.8" hidden="false" customHeight="false" outlineLevel="0" collapsed="false"/>
    <row r="1047731" customFormat="false" ht="12.8" hidden="false" customHeight="false" outlineLevel="0" collapsed="false"/>
    <row r="1047732" customFormat="false" ht="12.8" hidden="false" customHeight="false" outlineLevel="0" collapsed="false"/>
    <row r="1047733" customFormat="false" ht="12.8" hidden="false" customHeight="false" outlineLevel="0" collapsed="false"/>
    <row r="1047734" customFormat="false" ht="12.8" hidden="false" customHeight="false" outlineLevel="0" collapsed="false"/>
    <row r="1047735" customFormat="false" ht="12.8" hidden="false" customHeight="false" outlineLevel="0" collapsed="false"/>
    <row r="1047736" customFormat="false" ht="12.8" hidden="false" customHeight="false" outlineLevel="0" collapsed="false"/>
    <row r="1047737" customFormat="false" ht="12.8" hidden="false" customHeight="false" outlineLevel="0" collapsed="false"/>
    <row r="1047738" customFormat="false" ht="12.8" hidden="false" customHeight="false" outlineLevel="0" collapsed="false"/>
    <row r="1047739" customFormat="false" ht="12.8" hidden="false" customHeight="false" outlineLevel="0" collapsed="false"/>
    <row r="1047740" customFormat="false" ht="12.8" hidden="false" customHeight="false" outlineLevel="0" collapsed="false"/>
    <row r="1047741" customFormat="false" ht="12.8" hidden="false" customHeight="false" outlineLevel="0" collapsed="false"/>
    <row r="1047742" customFormat="false" ht="12.8" hidden="false" customHeight="false" outlineLevel="0" collapsed="false"/>
    <row r="1047743" customFormat="false" ht="12.8" hidden="false" customHeight="false" outlineLevel="0" collapsed="false"/>
    <row r="1047744" customFormat="false" ht="12.8" hidden="false" customHeight="false" outlineLevel="0" collapsed="false"/>
    <row r="1047745" customFormat="false" ht="12.8" hidden="false" customHeight="false" outlineLevel="0" collapsed="false"/>
    <row r="1047746" customFormat="false" ht="12.8" hidden="false" customHeight="false" outlineLevel="0" collapsed="false"/>
    <row r="1047747" customFormat="false" ht="12.8" hidden="false" customHeight="false" outlineLevel="0" collapsed="false"/>
    <row r="1047748" customFormat="false" ht="12.8" hidden="false" customHeight="false" outlineLevel="0" collapsed="false"/>
    <row r="1047749" customFormat="false" ht="12.8" hidden="false" customHeight="false" outlineLevel="0" collapsed="false"/>
    <row r="1047750" customFormat="false" ht="12.8" hidden="false" customHeight="false" outlineLevel="0" collapsed="false"/>
    <row r="1047751" customFormat="false" ht="12.8" hidden="false" customHeight="false" outlineLevel="0" collapsed="false"/>
    <row r="1047752" customFormat="false" ht="12.8" hidden="false" customHeight="false" outlineLevel="0" collapsed="false"/>
    <row r="1047753" customFormat="false" ht="12.8" hidden="false" customHeight="false" outlineLevel="0" collapsed="false"/>
    <row r="1047754" customFormat="false" ht="12.8" hidden="false" customHeight="false" outlineLevel="0" collapsed="false"/>
    <row r="1047755" customFormat="false" ht="12.8" hidden="false" customHeight="false" outlineLevel="0" collapsed="false"/>
    <row r="1047756" customFormat="false" ht="12.8" hidden="false" customHeight="false" outlineLevel="0" collapsed="false"/>
    <row r="1047757" customFormat="false" ht="12.8" hidden="false" customHeight="false" outlineLevel="0" collapsed="false"/>
    <row r="1047758" customFormat="false" ht="12.8" hidden="false" customHeight="false" outlineLevel="0" collapsed="false"/>
    <row r="1047759" customFormat="false" ht="12.8" hidden="false" customHeight="false" outlineLevel="0" collapsed="false"/>
    <row r="1047760" customFormat="false" ht="12.8" hidden="false" customHeight="false" outlineLevel="0" collapsed="false"/>
    <row r="1047761" customFormat="false" ht="12.8" hidden="false" customHeight="false" outlineLevel="0" collapsed="false"/>
    <row r="1047762" customFormat="false" ht="12.8" hidden="false" customHeight="false" outlineLevel="0" collapsed="false"/>
    <row r="1047763" customFormat="false" ht="12.8" hidden="false" customHeight="false" outlineLevel="0" collapsed="false"/>
    <row r="1047764" customFormat="false" ht="12.8" hidden="false" customHeight="false" outlineLevel="0" collapsed="false"/>
    <row r="1047765" customFormat="false" ht="12.8" hidden="false" customHeight="false" outlineLevel="0" collapsed="false"/>
    <row r="1047766" customFormat="false" ht="12.8" hidden="false" customHeight="false" outlineLevel="0" collapsed="false"/>
    <row r="1047767" customFormat="false" ht="12.8" hidden="false" customHeight="false" outlineLevel="0" collapsed="false"/>
    <row r="1047768" customFormat="false" ht="12.8" hidden="false" customHeight="false" outlineLevel="0" collapsed="false"/>
    <row r="1047769" customFormat="false" ht="12.8" hidden="false" customHeight="false" outlineLevel="0" collapsed="false"/>
    <row r="1047770" customFormat="false" ht="12.8" hidden="false" customHeight="false" outlineLevel="0" collapsed="false"/>
    <row r="1047771" customFormat="false" ht="12.8" hidden="false" customHeight="false" outlineLevel="0" collapsed="false"/>
    <row r="1047772" customFormat="false" ht="12.8" hidden="false" customHeight="false" outlineLevel="0" collapsed="false"/>
    <row r="1047773" customFormat="false" ht="12.8" hidden="false" customHeight="false" outlineLevel="0" collapsed="false"/>
    <row r="1047774" customFormat="false" ht="12.8" hidden="false" customHeight="false" outlineLevel="0" collapsed="false"/>
    <row r="1047775" customFormat="false" ht="12.8" hidden="false" customHeight="false" outlineLevel="0" collapsed="false"/>
    <row r="1047776" customFormat="false" ht="12.8" hidden="false" customHeight="false" outlineLevel="0" collapsed="false"/>
    <row r="1047777" customFormat="false" ht="12.8" hidden="false" customHeight="false" outlineLevel="0" collapsed="false"/>
    <row r="1047778" customFormat="false" ht="12.8" hidden="false" customHeight="false" outlineLevel="0" collapsed="false"/>
    <row r="1047779" customFormat="false" ht="12.8" hidden="false" customHeight="false" outlineLevel="0" collapsed="false"/>
    <row r="1047780" customFormat="false" ht="12.8" hidden="false" customHeight="false" outlineLevel="0" collapsed="false"/>
    <row r="1047781" customFormat="false" ht="12.8" hidden="false" customHeight="false" outlineLevel="0" collapsed="false"/>
    <row r="1047782" customFormat="false" ht="12.8" hidden="false" customHeight="false" outlineLevel="0" collapsed="false"/>
    <row r="1047783" customFormat="false" ht="12.8" hidden="false" customHeight="false" outlineLevel="0" collapsed="false"/>
    <row r="1047784" customFormat="false" ht="12.8" hidden="false" customHeight="false" outlineLevel="0" collapsed="false"/>
    <row r="1047785" customFormat="false" ht="12.8" hidden="false" customHeight="false" outlineLevel="0" collapsed="false"/>
    <row r="1047786" customFormat="false" ht="12.8" hidden="false" customHeight="false" outlineLevel="0" collapsed="false"/>
    <row r="1047787" customFormat="false" ht="12.8" hidden="false" customHeight="false" outlineLevel="0" collapsed="false"/>
    <row r="1047788" customFormat="false" ht="12.8" hidden="false" customHeight="false" outlineLevel="0" collapsed="false"/>
    <row r="1047789" customFormat="false" ht="12.8" hidden="false" customHeight="false" outlineLevel="0" collapsed="false"/>
    <row r="1047790" customFormat="false" ht="12.8" hidden="false" customHeight="false" outlineLevel="0" collapsed="false"/>
    <row r="1047791" customFormat="false" ht="12.8" hidden="false" customHeight="false" outlineLevel="0" collapsed="false"/>
    <row r="1047792" customFormat="false" ht="12.8" hidden="false" customHeight="false" outlineLevel="0" collapsed="false"/>
    <row r="1047793" customFormat="false" ht="12.8" hidden="false" customHeight="false" outlineLevel="0" collapsed="false"/>
    <row r="1047794" customFormat="false" ht="12.8" hidden="false" customHeight="false" outlineLevel="0" collapsed="false"/>
    <row r="1047795" customFormat="false" ht="12.8" hidden="false" customHeight="false" outlineLevel="0" collapsed="false"/>
    <row r="1047796" customFormat="false" ht="12.8" hidden="false" customHeight="false" outlineLevel="0" collapsed="false"/>
    <row r="1047797" customFormat="false" ht="12.8" hidden="false" customHeight="false" outlineLevel="0" collapsed="false"/>
    <row r="1047798" customFormat="false" ht="12.8" hidden="false" customHeight="false" outlineLevel="0" collapsed="false"/>
    <row r="1047799" customFormat="false" ht="12.8" hidden="false" customHeight="false" outlineLevel="0" collapsed="false"/>
    <row r="1047800" customFormat="false" ht="12.8" hidden="false" customHeight="false" outlineLevel="0" collapsed="false"/>
    <row r="1047801" customFormat="false" ht="12.8" hidden="false" customHeight="false" outlineLevel="0" collapsed="false"/>
    <row r="1047802" customFormat="false" ht="12.8" hidden="false" customHeight="false" outlineLevel="0" collapsed="false"/>
    <row r="1047803" customFormat="false" ht="12.8" hidden="false" customHeight="false" outlineLevel="0" collapsed="false"/>
    <row r="1047804" customFormat="false" ht="12.8" hidden="false" customHeight="false" outlineLevel="0" collapsed="false"/>
    <row r="1047805" customFormat="false" ht="12.8" hidden="false" customHeight="false" outlineLevel="0" collapsed="false"/>
    <row r="1047806" customFormat="false" ht="12.8" hidden="false" customHeight="false" outlineLevel="0" collapsed="false"/>
    <row r="1047807" customFormat="false" ht="12.8" hidden="false" customHeight="false" outlineLevel="0" collapsed="false"/>
    <row r="1047808" customFormat="false" ht="12.8" hidden="false" customHeight="false" outlineLevel="0" collapsed="false"/>
    <row r="1047809" customFormat="false" ht="12.8" hidden="false" customHeight="false" outlineLevel="0" collapsed="false"/>
    <row r="1047810" customFormat="false" ht="12.8" hidden="false" customHeight="false" outlineLevel="0" collapsed="false"/>
    <row r="1047811" customFormat="false" ht="12.8" hidden="false" customHeight="false" outlineLevel="0" collapsed="false"/>
    <row r="1047812" customFormat="false" ht="12.8" hidden="false" customHeight="false" outlineLevel="0" collapsed="false"/>
    <row r="1047813" customFormat="false" ht="12.8" hidden="false" customHeight="false" outlineLevel="0" collapsed="false"/>
    <row r="1047814" customFormat="false" ht="12.8" hidden="false" customHeight="false" outlineLevel="0" collapsed="false"/>
    <row r="1047815" customFormat="false" ht="12.8" hidden="false" customHeight="false" outlineLevel="0" collapsed="false"/>
    <row r="1047816" customFormat="false" ht="12.8" hidden="false" customHeight="false" outlineLevel="0" collapsed="false"/>
    <row r="1047817" customFormat="false" ht="12.8" hidden="false" customHeight="false" outlineLevel="0" collapsed="false"/>
    <row r="1047818" customFormat="false" ht="12.8" hidden="false" customHeight="false" outlineLevel="0" collapsed="false"/>
    <row r="1047819" customFormat="false" ht="12.8" hidden="false" customHeight="false" outlineLevel="0" collapsed="false"/>
    <row r="1047820" customFormat="false" ht="12.8" hidden="false" customHeight="false" outlineLevel="0" collapsed="false"/>
    <row r="1047821" customFormat="false" ht="12.8" hidden="false" customHeight="false" outlineLevel="0" collapsed="false"/>
    <row r="1047822" customFormat="false" ht="12.8" hidden="false" customHeight="false" outlineLevel="0" collapsed="false"/>
    <row r="1047823" customFormat="false" ht="12.8" hidden="false" customHeight="false" outlineLevel="0" collapsed="false"/>
    <row r="1047824" customFormat="false" ht="12.8" hidden="false" customHeight="false" outlineLevel="0" collapsed="false"/>
    <row r="1047825" customFormat="false" ht="12.8" hidden="false" customHeight="false" outlineLevel="0" collapsed="false"/>
    <row r="1047826" customFormat="false" ht="12.8" hidden="false" customHeight="false" outlineLevel="0" collapsed="false"/>
    <row r="1047827" customFormat="false" ht="12.8" hidden="false" customHeight="false" outlineLevel="0" collapsed="false"/>
    <row r="1047828" customFormat="false" ht="12.8" hidden="false" customHeight="false" outlineLevel="0" collapsed="false"/>
    <row r="1047829" customFormat="false" ht="12.8" hidden="false" customHeight="false" outlineLevel="0" collapsed="false"/>
    <row r="1047830" customFormat="false" ht="12.8" hidden="false" customHeight="false" outlineLevel="0" collapsed="false"/>
    <row r="1047831" customFormat="false" ht="12.8" hidden="false" customHeight="false" outlineLevel="0" collapsed="false"/>
    <row r="1047832" customFormat="false" ht="12.8" hidden="false" customHeight="false" outlineLevel="0" collapsed="false"/>
    <row r="1047833" customFormat="false" ht="12.8" hidden="false" customHeight="false" outlineLevel="0" collapsed="false"/>
    <row r="1047834" customFormat="false" ht="12.8" hidden="false" customHeight="false" outlineLevel="0" collapsed="false"/>
    <row r="1047835" customFormat="false" ht="12.8" hidden="false" customHeight="false" outlineLevel="0" collapsed="false"/>
    <row r="1047836" customFormat="false" ht="12.8" hidden="false" customHeight="false" outlineLevel="0" collapsed="false"/>
    <row r="1047837" customFormat="false" ht="12.8" hidden="false" customHeight="false" outlineLevel="0" collapsed="false"/>
    <row r="1047838" customFormat="false" ht="12.8" hidden="false" customHeight="false" outlineLevel="0" collapsed="false"/>
    <row r="1047839" customFormat="false" ht="12.8" hidden="false" customHeight="false" outlineLevel="0" collapsed="false"/>
    <row r="1047840" customFormat="false" ht="12.8" hidden="false" customHeight="false" outlineLevel="0" collapsed="false"/>
    <row r="1047841" customFormat="false" ht="12.8" hidden="false" customHeight="false" outlineLevel="0" collapsed="false"/>
    <row r="1047842" customFormat="false" ht="12.8" hidden="false" customHeight="false" outlineLevel="0" collapsed="false"/>
    <row r="1047843" customFormat="false" ht="12.8" hidden="false" customHeight="false" outlineLevel="0" collapsed="false"/>
    <row r="1047844" customFormat="false" ht="12.8" hidden="false" customHeight="false" outlineLevel="0" collapsed="false"/>
    <row r="1047845" customFormat="false" ht="12.8" hidden="false" customHeight="false" outlineLevel="0" collapsed="false"/>
    <row r="1047846" customFormat="false" ht="12.8" hidden="false" customHeight="false" outlineLevel="0" collapsed="false"/>
    <row r="1047847" customFormat="false" ht="12.8" hidden="false" customHeight="false" outlineLevel="0" collapsed="false"/>
    <row r="1047848" customFormat="false" ht="12.8" hidden="false" customHeight="false" outlineLevel="0" collapsed="false"/>
    <row r="1047849" customFormat="false" ht="12.8" hidden="false" customHeight="false" outlineLevel="0" collapsed="false"/>
    <row r="1047850" customFormat="false" ht="12.8" hidden="false" customHeight="false" outlineLevel="0" collapsed="false"/>
    <row r="1047851" customFormat="false" ht="12.8" hidden="false" customHeight="false" outlineLevel="0" collapsed="false"/>
    <row r="1047852" customFormat="false" ht="12.8" hidden="false" customHeight="false" outlineLevel="0" collapsed="false"/>
    <row r="1047853" customFormat="false" ht="12.8" hidden="false" customHeight="false" outlineLevel="0" collapsed="false"/>
    <row r="1047854" customFormat="false" ht="12.8" hidden="false" customHeight="false" outlineLevel="0" collapsed="false"/>
    <row r="1047855" customFormat="false" ht="12.8" hidden="false" customHeight="false" outlineLevel="0" collapsed="false"/>
    <row r="1047856" customFormat="false" ht="12.8" hidden="false" customHeight="false" outlineLevel="0" collapsed="false"/>
    <row r="1047857" customFormat="false" ht="12.8" hidden="false" customHeight="false" outlineLevel="0" collapsed="false"/>
    <row r="1047858" customFormat="false" ht="12.8" hidden="false" customHeight="false" outlineLevel="0" collapsed="false"/>
    <row r="1047859" customFormat="false" ht="12.8" hidden="false" customHeight="false" outlineLevel="0" collapsed="false"/>
    <row r="1047860" customFormat="false" ht="12.8" hidden="false" customHeight="false" outlineLevel="0" collapsed="false"/>
    <row r="1047861" customFormat="false" ht="12.8" hidden="false" customHeight="false" outlineLevel="0" collapsed="false"/>
    <row r="1047862" customFormat="false" ht="12.8" hidden="false" customHeight="false" outlineLevel="0" collapsed="false"/>
    <row r="1047863" customFormat="false" ht="12.8" hidden="false" customHeight="false" outlineLevel="0" collapsed="false"/>
    <row r="1047864" customFormat="false" ht="12.8" hidden="false" customHeight="false" outlineLevel="0" collapsed="false"/>
    <row r="1047865" customFormat="false" ht="12.8" hidden="false" customHeight="false" outlineLevel="0" collapsed="false"/>
    <row r="1047866" customFormat="false" ht="12.8" hidden="false" customHeight="false" outlineLevel="0" collapsed="false"/>
    <row r="1047867" customFormat="false" ht="12.8" hidden="false" customHeight="false" outlineLevel="0" collapsed="false"/>
    <row r="1047868" customFormat="false" ht="12.8" hidden="false" customHeight="false" outlineLevel="0" collapsed="false"/>
    <row r="1047869" customFormat="false" ht="12.8" hidden="false" customHeight="false" outlineLevel="0" collapsed="false"/>
    <row r="1047870" customFormat="false" ht="12.8" hidden="false" customHeight="false" outlineLevel="0" collapsed="false"/>
    <row r="1047871" customFormat="false" ht="12.8" hidden="false" customHeight="false" outlineLevel="0" collapsed="false"/>
    <row r="1047872" customFormat="false" ht="12.8" hidden="false" customHeight="false" outlineLevel="0" collapsed="false"/>
    <row r="1047873" customFormat="false" ht="12.8" hidden="false" customHeight="false" outlineLevel="0" collapsed="false"/>
    <row r="1047874" customFormat="false" ht="12.8" hidden="false" customHeight="false" outlineLevel="0" collapsed="false"/>
    <row r="1047875" customFormat="false" ht="12.8" hidden="false" customHeight="false" outlineLevel="0" collapsed="false"/>
    <row r="1047876" customFormat="false" ht="12.8" hidden="false" customHeight="false" outlineLevel="0" collapsed="false"/>
    <row r="1047877" customFormat="false" ht="12.8" hidden="false" customHeight="false" outlineLevel="0" collapsed="false"/>
    <row r="1047878" customFormat="false" ht="12.8" hidden="false" customHeight="false" outlineLevel="0" collapsed="false"/>
    <row r="1047879" customFormat="false" ht="12.8" hidden="false" customHeight="false" outlineLevel="0" collapsed="false"/>
    <row r="1047880" customFormat="false" ht="12.8" hidden="false" customHeight="false" outlineLevel="0" collapsed="false"/>
    <row r="1047881" customFormat="false" ht="12.8" hidden="false" customHeight="false" outlineLevel="0" collapsed="false"/>
    <row r="1047882" customFormat="false" ht="12.8" hidden="false" customHeight="false" outlineLevel="0" collapsed="false"/>
    <row r="1047883" customFormat="false" ht="12.8" hidden="false" customHeight="false" outlineLevel="0" collapsed="false"/>
    <row r="1047884" customFormat="false" ht="12.8" hidden="false" customHeight="false" outlineLevel="0" collapsed="false"/>
    <row r="1047885" customFormat="false" ht="12.8" hidden="false" customHeight="false" outlineLevel="0" collapsed="false"/>
    <row r="1047886" customFormat="false" ht="12.8" hidden="false" customHeight="false" outlineLevel="0" collapsed="false"/>
    <row r="1047887" customFormat="false" ht="12.8" hidden="false" customHeight="false" outlineLevel="0" collapsed="false"/>
    <row r="1047888" customFormat="false" ht="12.8" hidden="false" customHeight="false" outlineLevel="0" collapsed="false"/>
    <row r="1047889" customFormat="false" ht="12.8" hidden="false" customHeight="false" outlineLevel="0" collapsed="false"/>
    <row r="1047890" customFormat="false" ht="12.8" hidden="false" customHeight="false" outlineLevel="0" collapsed="false"/>
    <row r="1047891" customFormat="false" ht="12.8" hidden="false" customHeight="false" outlineLevel="0" collapsed="false"/>
    <row r="1047892" customFormat="false" ht="12.8" hidden="false" customHeight="false" outlineLevel="0" collapsed="false"/>
    <row r="1047893" customFormat="false" ht="12.8" hidden="false" customHeight="false" outlineLevel="0" collapsed="false"/>
    <row r="1047894" customFormat="false" ht="12.8" hidden="false" customHeight="false" outlineLevel="0" collapsed="false"/>
    <row r="1047895" customFormat="false" ht="12.8" hidden="false" customHeight="false" outlineLevel="0" collapsed="false"/>
    <row r="1047896" customFormat="false" ht="12.8" hidden="false" customHeight="false" outlineLevel="0" collapsed="false"/>
    <row r="1047897" customFormat="false" ht="12.8" hidden="false" customHeight="false" outlineLevel="0" collapsed="false"/>
    <row r="1047898" customFormat="false" ht="12.8" hidden="false" customHeight="false" outlineLevel="0" collapsed="false"/>
    <row r="1047899" customFormat="false" ht="12.8" hidden="false" customHeight="false" outlineLevel="0" collapsed="false"/>
    <row r="1047900" customFormat="false" ht="12.8" hidden="false" customHeight="false" outlineLevel="0" collapsed="false"/>
    <row r="1047901" customFormat="false" ht="12.8" hidden="false" customHeight="false" outlineLevel="0" collapsed="false"/>
    <row r="1047902" customFormat="false" ht="12.8" hidden="false" customHeight="false" outlineLevel="0" collapsed="false"/>
    <row r="1047903" customFormat="false" ht="12.8" hidden="false" customHeight="false" outlineLevel="0" collapsed="false"/>
    <row r="1047904" customFormat="false" ht="12.8" hidden="false" customHeight="false" outlineLevel="0" collapsed="false"/>
    <row r="1047905" customFormat="false" ht="12.8" hidden="false" customHeight="false" outlineLevel="0" collapsed="false"/>
    <row r="1047906" customFormat="false" ht="12.8" hidden="false" customHeight="false" outlineLevel="0" collapsed="false"/>
    <row r="1047907" customFormat="false" ht="12.8" hidden="false" customHeight="false" outlineLevel="0" collapsed="false"/>
    <row r="1047908" customFormat="false" ht="12.8" hidden="false" customHeight="false" outlineLevel="0" collapsed="false"/>
    <row r="1047909" customFormat="false" ht="12.8" hidden="false" customHeight="false" outlineLevel="0" collapsed="false"/>
    <row r="1047910" customFormat="false" ht="12.8" hidden="false" customHeight="false" outlineLevel="0" collapsed="false"/>
    <row r="1047911" customFormat="false" ht="12.8" hidden="false" customHeight="false" outlineLevel="0" collapsed="false"/>
    <row r="1047912" customFormat="false" ht="12.8" hidden="false" customHeight="false" outlineLevel="0" collapsed="false"/>
    <row r="1047913" customFormat="false" ht="12.8" hidden="false" customHeight="false" outlineLevel="0" collapsed="false"/>
    <row r="1047914" customFormat="false" ht="12.8" hidden="false" customHeight="false" outlineLevel="0" collapsed="false"/>
    <row r="1047915" customFormat="false" ht="12.8" hidden="false" customHeight="false" outlineLevel="0" collapsed="false"/>
    <row r="1047916" customFormat="false" ht="12.8" hidden="false" customHeight="false" outlineLevel="0" collapsed="false"/>
    <row r="1047917" customFormat="false" ht="12.8" hidden="false" customHeight="false" outlineLevel="0" collapsed="false"/>
    <row r="1047918" customFormat="false" ht="12.8" hidden="false" customHeight="false" outlineLevel="0" collapsed="false"/>
    <row r="1047919" customFormat="false" ht="12.8" hidden="false" customHeight="false" outlineLevel="0" collapsed="false"/>
    <row r="1047920" customFormat="false" ht="12.8" hidden="false" customHeight="false" outlineLevel="0" collapsed="false"/>
    <row r="1047921" customFormat="false" ht="12.8" hidden="false" customHeight="false" outlineLevel="0" collapsed="false"/>
    <row r="1047922" customFormat="false" ht="12.8" hidden="false" customHeight="false" outlineLevel="0" collapsed="false"/>
    <row r="1047923" customFormat="false" ht="12.8" hidden="false" customHeight="false" outlineLevel="0" collapsed="false"/>
    <row r="1047924" customFormat="false" ht="12.8" hidden="false" customHeight="false" outlineLevel="0" collapsed="false"/>
    <row r="1047925" customFormat="false" ht="12.8" hidden="false" customHeight="false" outlineLevel="0" collapsed="false"/>
    <row r="1047926" customFormat="false" ht="12.8" hidden="false" customHeight="false" outlineLevel="0" collapsed="false"/>
    <row r="1047927" customFormat="false" ht="12.8" hidden="false" customHeight="false" outlineLevel="0" collapsed="false"/>
    <row r="1047928" customFormat="false" ht="12.8" hidden="false" customHeight="false" outlineLevel="0" collapsed="false"/>
    <row r="1047929" customFormat="false" ht="12.8" hidden="false" customHeight="false" outlineLevel="0" collapsed="false"/>
    <row r="1047930" customFormat="false" ht="12.8" hidden="false" customHeight="false" outlineLevel="0" collapsed="false"/>
    <row r="1047931" customFormat="false" ht="12.8" hidden="false" customHeight="false" outlineLevel="0" collapsed="false"/>
    <row r="1047932" customFormat="false" ht="12.8" hidden="false" customHeight="false" outlineLevel="0" collapsed="false"/>
    <row r="1047933" customFormat="false" ht="12.8" hidden="false" customHeight="false" outlineLevel="0" collapsed="false"/>
    <row r="1047934" customFormat="false" ht="12.8" hidden="false" customHeight="false" outlineLevel="0" collapsed="false"/>
    <row r="1047935" customFormat="false" ht="12.8" hidden="false" customHeight="false" outlineLevel="0" collapsed="false"/>
    <row r="1047936" customFormat="false" ht="12.8" hidden="false" customHeight="false" outlineLevel="0" collapsed="false"/>
    <row r="1047937" customFormat="false" ht="12.8" hidden="false" customHeight="false" outlineLevel="0" collapsed="false"/>
    <row r="1047938" customFormat="false" ht="12.8" hidden="false" customHeight="false" outlineLevel="0" collapsed="false"/>
    <row r="1047939" customFormat="false" ht="12.8" hidden="false" customHeight="false" outlineLevel="0" collapsed="false"/>
    <row r="1047940" customFormat="false" ht="12.8" hidden="false" customHeight="false" outlineLevel="0" collapsed="false"/>
    <row r="1047941" customFormat="false" ht="12.8" hidden="false" customHeight="false" outlineLevel="0" collapsed="false"/>
    <row r="1047942" customFormat="false" ht="12.8" hidden="false" customHeight="false" outlineLevel="0" collapsed="false"/>
    <row r="1047943" customFormat="false" ht="12.8" hidden="false" customHeight="false" outlineLevel="0" collapsed="false"/>
    <row r="1047944" customFormat="false" ht="12.8" hidden="false" customHeight="false" outlineLevel="0" collapsed="false"/>
    <row r="1047945" customFormat="false" ht="12.8" hidden="false" customHeight="false" outlineLevel="0" collapsed="false"/>
    <row r="1047946" customFormat="false" ht="12.8" hidden="false" customHeight="false" outlineLevel="0" collapsed="false"/>
    <row r="1047947" customFormat="false" ht="12.8" hidden="false" customHeight="false" outlineLevel="0" collapsed="false"/>
    <row r="1047948" customFormat="false" ht="12.8" hidden="false" customHeight="false" outlineLevel="0" collapsed="false"/>
    <row r="1047949" customFormat="false" ht="12.8" hidden="false" customHeight="false" outlineLevel="0" collapsed="false"/>
    <row r="1047950" customFormat="false" ht="12.8" hidden="false" customHeight="false" outlineLevel="0" collapsed="false"/>
    <row r="1047951" customFormat="false" ht="12.8" hidden="false" customHeight="false" outlineLevel="0" collapsed="false"/>
    <row r="1047952" customFormat="false" ht="12.8" hidden="false" customHeight="false" outlineLevel="0" collapsed="false"/>
    <row r="1047953" customFormat="false" ht="12.8" hidden="false" customHeight="false" outlineLevel="0" collapsed="false"/>
    <row r="1047954" customFormat="false" ht="12.8" hidden="false" customHeight="false" outlineLevel="0" collapsed="false"/>
    <row r="1047955" customFormat="false" ht="12.8" hidden="false" customHeight="false" outlineLevel="0" collapsed="false"/>
    <row r="1047956" customFormat="false" ht="12.8" hidden="false" customHeight="false" outlineLevel="0" collapsed="false"/>
    <row r="1047957" customFormat="false" ht="12.8" hidden="false" customHeight="false" outlineLevel="0" collapsed="false"/>
    <row r="1047958" customFormat="false" ht="12.8" hidden="false" customHeight="false" outlineLevel="0" collapsed="false"/>
    <row r="1047959" customFormat="false" ht="12.8" hidden="false" customHeight="false" outlineLevel="0" collapsed="false"/>
    <row r="1047960" customFormat="false" ht="12.8" hidden="false" customHeight="false" outlineLevel="0" collapsed="false"/>
    <row r="1047961" customFormat="false" ht="12.8" hidden="false" customHeight="false" outlineLevel="0" collapsed="false"/>
    <row r="1047962" customFormat="false" ht="12.8" hidden="false" customHeight="false" outlineLevel="0" collapsed="false"/>
    <row r="1047963" customFormat="false" ht="12.8" hidden="false" customHeight="false" outlineLevel="0" collapsed="false"/>
    <row r="1047964" customFormat="false" ht="12.8" hidden="false" customHeight="false" outlineLevel="0" collapsed="false"/>
    <row r="1047965" customFormat="false" ht="12.8" hidden="false" customHeight="false" outlineLevel="0" collapsed="false"/>
    <row r="1047966" customFormat="false" ht="12.8" hidden="false" customHeight="false" outlineLevel="0" collapsed="false"/>
    <row r="1047967" customFormat="false" ht="12.8" hidden="false" customHeight="false" outlineLevel="0" collapsed="false"/>
    <row r="1047968" customFormat="false" ht="12.8" hidden="false" customHeight="false" outlineLevel="0" collapsed="false"/>
    <row r="1047969" customFormat="false" ht="12.8" hidden="false" customHeight="false" outlineLevel="0" collapsed="false"/>
    <row r="1047970" customFormat="false" ht="12.8" hidden="false" customHeight="false" outlineLevel="0" collapsed="false"/>
    <row r="1047971" customFormat="false" ht="12.8" hidden="false" customHeight="false" outlineLevel="0" collapsed="false"/>
    <row r="1047972" customFormat="false" ht="12.8" hidden="false" customHeight="false" outlineLevel="0" collapsed="false"/>
    <row r="1047973" customFormat="false" ht="12.8" hidden="false" customHeight="false" outlineLevel="0" collapsed="false"/>
    <row r="1047974" customFormat="false" ht="12.8" hidden="false" customHeight="false" outlineLevel="0" collapsed="false"/>
    <row r="1047975" customFormat="false" ht="12.8" hidden="false" customHeight="false" outlineLevel="0" collapsed="false"/>
    <row r="1047976" customFormat="false" ht="12.8" hidden="false" customHeight="false" outlineLevel="0" collapsed="false"/>
    <row r="1047977" customFormat="false" ht="12.8" hidden="false" customHeight="false" outlineLevel="0" collapsed="false"/>
    <row r="1047978" customFormat="false" ht="12.8" hidden="false" customHeight="false" outlineLevel="0" collapsed="false"/>
    <row r="1047979" customFormat="false" ht="12.8" hidden="false" customHeight="false" outlineLevel="0" collapsed="false"/>
    <row r="1047980" customFormat="false" ht="12.8" hidden="false" customHeight="false" outlineLevel="0" collapsed="false"/>
    <row r="1047981" customFormat="false" ht="12.8" hidden="false" customHeight="false" outlineLevel="0" collapsed="false"/>
    <row r="1047982" customFormat="false" ht="12.8" hidden="false" customHeight="false" outlineLevel="0" collapsed="false"/>
    <row r="1047983" customFormat="false" ht="12.8" hidden="false" customHeight="false" outlineLevel="0" collapsed="false"/>
    <row r="1047984" customFormat="false" ht="12.8" hidden="false" customHeight="false" outlineLevel="0" collapsed="false"/>
    <row r="1047985" customFormat="false" ht="12.8" hidden="false" customHeight="false" outlineLevel="0" collapsed="false"/>
    <row r="1047986" customFormat="false" ht="12.8" hidden="false" customHeight="false" outlineLevel="0" collapsed="false"/>
    <row r="1047987" customFormat="false" ht="12.8" hidden="false" customHeight="false" outlineLevel="0" collapsed="false"/>
    <row r="1047988" customFormat="false" ht="12.8" hidden="false" customHeight="false" outlineLevel="0" collapsed="false"/>
    <row r="1047989" customFormat="false" ht="12.8" hidden="false" customHeight="false" outlineLevel="0" collapsed="false"/>
    <row r="1047990" customFormat="false" ht="12.8" hidden="false" customHeight="false" outlineLevel="0" collapsed="false"/>
    <row r="1047991" customFormat="false" ht="12.8" hidden="false" customHeight="false" outlineLevel="0" collapsed="false"/>
    <row r="1047992" customFormat="false" ht="12.8" hidden="false" customHeight="false" outlineLevel="0" collapsed="false"/>
    <row r="1047993" customFormat="false" ht="12.8" hidden="false" customHeight="false" outlineLevel="0" collapsed="false"/>
    <row r="1047994" customFormat="false" ht="12.8" hidden="false" customHeight="false" outlineLevel="0" collapsed="false"/>
    <row r="1047995" customFormat="false" ht="12.8" hidden="false" customHeight="false" outlineLevel="0" collapsed="false"/>
    <row r="1047996" customFormat="false" ht="12.8" hidden="false" customHeight="false" outlineLevel="0" collapsed="false"/>
    <row r="1047997" customFormat="false" ht="12.8" hidden="false" customHeight="false" outlineLevel="0" collapsed="false"/>
    <row r="1047998" customFormat="false" ht="12.8" hidden="false" customHeight="false" outlineLevel="0" collapsed="false"/>
    <row r="1047999" customFormat="false" ht="12.8" hidden="false" customHeight="false" outlineLevel="0" collapsed="false"/>
    <row r="1048000" customFormat="false" ht="12.8" hidden="false" customHeight="false" outlineLevel="0" collapsed="false"/>
    <row r="1048001" customFormat="false" ht="12.8" hidden="false" customHeight="false" outlineLevel="0" collapsed="false"/>
    <row r="1048002" customFormat="false" ht="12.8" hidden="false" customHeight="false" outlineLevel="0" collapsed="false"/>
    <row r="1048003" customFormat="false" ht="12.8" hidden="false" customHeight="false" outlineLevel="0" collapsed="false"/>
    <row r="1048004" customFormat="false" ht="12.8" hidden="false" customHeight="false" outlineLevel="0" collapsed="false"/>
    <row r="1048005" customFormat="false" ht="12.8" hidden="false" customHeight="false" outlineLevel="0" collapsed="false"/>
    <row r="1048006" customFormat="false" ht="12.8" hidden="false" customHeight="false" outlineLevel="0" collapsed="false"/>
    <row r="1048007" customFormat="false" ht="12.8" hidden="false" customHeight="false" outlineLevel="0" collapsed="false"/>
    <row r="1048008" customFormat="false" ht="12.8" hidden="false" customHeight="false" outlineLevel="0" collapsed="false"/>
    <row r="1048009" customFormat="false" ht="12.8" hidden="false" customHeight="false" outlineLevel="0" collapsed="false"/>
    <row r="1048010" customFormat="false" ht="12.8" hidden="false" customHeight="false" outlineLevel="0" collapsed="false"/>
    <row r="1048011" customFormat="false" ht="12.8" hidden="false" customHeight="false" outlineLevel="0" collapsed="false"/>
    <row r="1048012" customFormat="false" ht="12.8" hidden="false" customHeight="false" outlineLevel="0" collapsed="false"/>
    <row r="1048013" customFormat="false" ht="12.8" hidden="false" customHeight="false" outlineLevel="0" collapsed="false"/>
    <row r="1048014" customFormat="false" ht="12.8" hidden="false" customHeight="false" outlineLevel="0" collapsed="false"/>
    <row r="1048015" customFormat="false" ht="12.8" hidden="false" customHeight="false" outlineLevel="0" collapsed="false"/>
    <row r="1048016" customFormat="false" ht="12.8" hidden="false" customHeight="false" outlineLevel="0" collapsed="false"/>
    <row r="1048017" customFormat="false" ht="12.8" hidden="false" customHeight="false" outlineLevel="0" collapsed="false"/>
    <row r="1048018" customFormat="false" ht="12.8" hidden="false" customHeight="false" outlineLevel="0" collapsed="false"/>
    <row r="1048019" customFormat="false" ht="12.8" hidden="false" customHeight="false" outlineLevel="0" collapsed="false"/>
    <row r="1048020" customFormat="false" ht="12.8" hidden="false" customHeight="false" outlineLevel="0" collapsed="false"/>
    <row r="1048021" customFormat="false" ht="12.8" hidden="false" customHeight="false" outlineLevel="0" collapsed="false"/>
    <row r="1048022" customFormat="false" ht="12.8" hidden="false" customHeight="false" outlineLevel="0" collapsed="false"/>
    <row r="1048023" customFormat="false" ht="12.8" hidden="false" customHeight="false" outlineLevel="0" collapsed="false"/>
    <row r="1048024" customFormat="false" ht="12.8" hidden="false" customHeight="false" outlineLevel="0" collapsed="false"/>
    <row r="1048025" customFormat="false" ht="12.8" hidden="false" customHeight="false" outlineLevel="0" collapsed="false"/>
    <row r="1048026" customFormat="false" ht="12.8" hidden="false" customHeight="false" outlineLevel="0" collapsed="false"/>
    <row r="1048027" customFormat="false" ht="12.8" hidden="false" customHeight="false" outlineLevel="0" collapsed="false"/>
    <row r="1048028" customFormat="false" ht="12.8" hidden="false" customHeight="false" outlineLevel="0" collapsed="false"/>
    <row r="1048029" customFormat="false" ht="12.8" hidden="false" customHeight="false" outlineLevel="0" collapsed="false"/>
    <row r="1048030" customFormat="false" ht="12.8" hidden="false" customHeight="false" outlineLevel="0" collapsed="false"/>
    <row r="1048031" customFormat="false" ht="12.8" hidden="false" customHeight="false" outlineLevel="0" collapsed="false"/>
    <row r="1048032" customFormat="false" ht="12.8" hidden="false" customHeight="false" outlineLevel="0" collapsed="false"/>
    <row r="1048033" customFormat="false" ht="12.8" hidden="false" customHeight="false" outlineLevel="0" collapsed="false"/>
    <row r="1048034" customFormat="false" ht="12.8" hidden="false" customHeight="false" outlineLevel="0" collapsed="false"/>
    <row r="1048035" customFormat="false" ht="12.8" hidden="false" customHeight="false" outlineLevel="0" collapsed="false"/>
    <row r="1048036" customFormat="false" ht="12.8" hidden="false" customHeight="false" outlineLevel="0" collapsed="false"/>
    <row r="1048037" customFormat="false" ht="12.8" hidden="false" customHeight="false" outlineLevel="0" collapsed="false"/>
    <row r="1048038" customFormat="false" ht="12.8" hidden="false" customHeight="false" outlineLevel="0" collapsed="false"/>
    <row r="1048039" customFormat="false" ht="12.8" hidden="false" customHeight="false" outlineLevel="0" collapsed="false"/>
    <row r="1048040" customFormat="false" ht="12.8" hidden="false" customHeight="false" outlineLevel="0" collapsed="false"/>
    <row r="1048041" customFormat="false" ht="12.8" hidden="false" customHeight="false" outlineLevel="0" collapsed="false"/>
    <row r="1048042" customFormat="false" ht="12.8" hidden="false" customHeight="false" outlineLevel="0" collapsed="false"/>
    <row r="1048043" customFormat="false" ht="12.8" hidden="false" customHeight="false" outlineLevel="0" collapsed="false"/>
    <row r="1048044" customFormat="false" ht="12.8" hidden="false" customHeight="false" outlineLevel="0" collapsed="false"/>
    <row r="1048045" customFormat="false" ht="12.8" hidden="false" customHeight="false" outlineLevel="0" collapsed="false"/>
    <row r="1048046" customFormat="false" ht="12.8" hidden="false" customHeight="false" outlineLevel="0" collapsed="false"/>
    <row r="1048047" customFormat="false" ht="12.8" hidden="false" customHeight="false" outlineLevel="0" collapsed="false"/>
    <row r="1048048" customFormat="false" ht="12.8" hidden="false" customHeight="false" outlineLevel="0" collapsed="false"/>
    <row r="1048049" customFormat="false" ht="12.8" hidden="false" customHeight="false" outlineLevel="0" collapsed="false"/>
    <row r="1048050" customFormat="false" ht="12.8" hidden="false" customHeight="false" outlineLevel="0" collapsed="false"/>
    <row r="1048051" customFormat="false" ht="12.8" hidden="false" customHeight="false" outlineLevel="0" collapsed="false"/>
    <row r="1048052" customFormat="false" ht="12.8" hidden="false" customHeight="false" outlineLevel="0" collapsed="false"/>
    <row r="1048053" customFormat="false" ht="12.8" hidden="false" customHeight="false" outlineLevel="0" collapsed="false"/>
    <row r="1048054" customFormat="false" ht="12.8" hidden="false" customHeight="false" outlineLevel="0" collapsed="false"/>
    <row r="1048055" customFormat="false" ht="12.8" hidden="false" customHeight="false" outlineLevel="0" collapsed="false"/>
    <row r="1048056" customFormat="false" ht="12.8" hidden="false" customHeight="false" outlineLevel="0" collapsed="false"/>
    <row r="1048057" customFormat="false" ht="12.8" hidden="false" customHeight="false" outlineLevel="0" collapsed="false"/>
    <row r="1048058" customFormat="false" ht="12.8" hidden="false" customHeight="false" outlineLevel="0" collapsed="false"/>
    <row r="1048059" customFormat="false" ht="12.8" hidden="false" customHeight="false" outlineLevel="0" collapsed="false"/>
    <row r="1048060" customFormat="false" ht="12.8" hidden="false" customHeight="false" outlineLevel="0" collapsed="false"/>
    <row r="1048061" customFormat="false" ht="12.8" hidden="false" customHeight="false" outlineLevel="0" collapsed="false"/>
    <row r="1048062" customFormat="false" ht="12.8" hidden="false" customHeight="false" outlineLevel="0" collapsed="false"/>
    <row r="1048063" customFormat="false" ht="12.8" hidden="false" customHeight="false" outlineLevel="0" collapsed="false"/>
    <row r="1048064" customFormat="false" ht="12.8" hidden="false" customHeight="false" outlineLevel="0" collapsed="false"/>
    <row r="1048065" customFormat="false" ht="12.8" hidden="false" customHeight="false" outlineLevel="0" collapsed="false"/>
    <row r="1048066" customFormat="false" ht="12.8" hidden="false" customHeight="false" outlineLevel="0" collapsed="false"/>
    <row r="1048067" customFormat="false" ht="12.8" hidden="false" customHeight="false" outlineLevel="0" collapsed="false"/>
    <row r="1048068" customFormat="false" ht="12.8" hidden="false" customHeight="false" outlineLevel="0" collapsed="false"/>
    <row r="1048069" customFormat="false" ht="12.8" hidden="false" customHeight="false" outlineLevel="0" collapsed="false"/>
    <row r="1048070" customFormat="false" ht="12.8" hidden="false" customHeight="false" outlineLevel="0" collapsed="false"/>
    <row r="1048071" customFormat="false" ht="12.8" hidden="false" customHeight="false" outlineLevel="0" collapsed="false"/>
    <row r="1048072" customFormat="false" ht="12.8" hidden="false" customHeight="false" outlineLevel="0" collapsed="false"/>
    <row r="1048073" customFormat="false" ht="12.8" hidden="false" customHeight="false" outlineLevel="0" collapsed="false"/>
    <row r="1048074" customFormat="false" ht="12.8" hidden="false" customHeight="false" outlineLevel="0" collapsed="false"/>
    <row r="1048075" customFormat="false" ht="12.8" hidden="false" customHeight="false" outlineLevel="0" collapsed="false"/>
    <row r="1048076" customFormat="false" ht="12.8" hidden="false" customHeight="false" outlineLevel="0" collapsed="false"/>
    <row r="1048077" customFormat="false" ht="12.8" hidden="false" customHeight="false" outlineLevel="0" collapsed="false"/>
    <row r="1048078" customFormat="false" ht="12.8" hidden="false" customHeight="false" outlineLevel="0" collapsed="false"/>
    <row r="1048079" customFormat="false" ht="12.8" hidden="false" customHeight="false" outlineLevel="0" collapsed="false"/>
    <row r="1048080" customFormat="false" ht="12.8" hidden="false" customHeight="false" outlineLevel="0" collapsed="false"/>
    <row r="1048081" customFormat="false" ht="12.8" hidden="false" customHeight="false" outlineLevel="0" collapsed="false"/>
    <row r="1048082" customFormat="false" ht="12.8" hidden="false" customHeight="false" outlineLevel="0" collapsed="false"/>
    <row r="1048083" customFormat="false" ht="12.8" hidden="false" customHeight="false" outlineLevel="0" collapsed="false"/>
    <row r="1048084" customFormat="false" ht="12.8" hidden="false" customHeight="false" outlineLevel="0" collapsed="false"/>
    <row r="1048085" customFormat="false" ht="12.8" hidden="false" customHeight="false" outlineLevel="0" collapsed="false"/>
    <row r="1048086" customFormat="false" ht="12.8" hidden="false" customHeight="false" outlineLevel="0" collapsed="false"/>
    <row r="1048087" customFormat="false" ht="12.8" hidden="false" customHeight="false" outlineLevel="0" collapsed="false"/>
    <row r="1048088" customFormat="false" ht="12.8" hidden="false" customHeight="false" outlineLevel="0" collapsed="false"/>
    <row r="1048089" customFormat="false" ht="12.8" hidden="false" customHeight="false" outlineLevel="0" collapsed="false"/>
    <row r="1048090" customFormat="false" ht="12.8" hidden="false" customHeight="false" outlineLevel="0" collapsed="false"/>
    <row r="1048091" customFormat="false" ht="12.8" hidden="false" customHeight="false" outlineLevel="0" collapsed="false"/>
    <row r="1048092" customFormat="false" ht="12.8" hidden="false" customHeight="false" outlineLevel="0" collapsed="false"/>
    <row r="1048093" customFormat="false" ht="12.8" hidden="false" customHeight="false" outlineLevel="0" collapsed="false"/>
    <row r="1048094" customFormat="false" ht="12.8" hidden="false" customHeight="false" outlineLevel="0" collapsed="false"/>
    <row r="1048095" customFormat="false" ht="12.8" hidden="false" customHeight="false" outlineLevel="0" collapsed="false"/>
    <row r="1048096" customFormat="false" ht="12.8" hidden="false" customHeight="false" outlineLevel="0" collapsed="false"/>
    <row r="1048097" customFormat="false" ht="12.8" hidden="false" customHeight="false" outlineLevel="0" collapsed="false"/>
    <row r="1048098" customFormat="false" ht="12.8" hidden="false" customHeight="false" outlineLevel="0" collapsed="false"/>
    <row r="1048099" customFormat="false" ht="12.8" hidden="false" customHeight="false" outlineLevel="0" collapsed="false"/>
    <row r="1048100" customFormat="false" ht="12.8" hidden="false" customHeight="false" outlineLevel="0" collapsed="false"/>
    <row r="1048101" customFormat="false" ht="12.8" hidden="false" customHeight="false" outlineLevel="0" collapsed="false"/>
    <row r="1048102" customFormat="false" ht="12.8" hidden="false" customHeight="false" outlineLevel="0" collapsed="false"/>
    <row r="1048103" customFormat="false" ht="12.8" hidden="false" customHeight="false" outlineLevel="0" collapsed="false"/>
    <row r="1048104" customFormat="false" ht="12.8" hidden="false" customHeight="false" outlineLevel="0" collapsed="false"/>
    <row r="1048105" customFormat="false" ht="12.8" hidden="false" customHeight="false" outlineLevel="0" collapsed="false"/>
    <row r="1048106" customFormat="false" ht="12.8" hidden="false" customHeight="false" outlineLevel="0" collapsed="false"/>
    <row r="1048107" customFormat="false" ht="12.8" hidden="false" customHeight="false" outlineLevel="0" collapsed="false"/>
    <row r="1048108" customFormat="false" ht="12.8" hidden="false" customHeight="false" outlineLevel="0" collapsed="false"/>
    <row r="1048109" customFormat="false" ht="12.8" hidden="false" customHeight="false" outlineLevel="0" collapsed="false"/>
    <row r="1048110" customFormat="false" ht="12.8" hidden="false" customHeight="false" outlineLevel="0" collapsed="false"/>
    <row r="1048111" customFormat="false" ht="12.8" hidden="false" customHeight="false" outlineLevel="0" collapsed="false"/>
    <row r="1048112" customFormat="false" ht="12.8" hidden="false" customHeight="false" outlineLevel="0" collapsed="false"/>
    <row r="1048113" customFormat="false" ht="12.8" hidden="false" customHeight="false" outlineLevel="0" collapsed="false"/>
    <row r="1048114" customFormat="false" ht="12.8" hidden="false" customHeight="false" outlineLevel="0" collapsed="false"/>
    <row r="1048115" customFormat="false" ht="12.8" hidden="false" customHeight="false" outlineLevel="0" collapsed="false"/>
    <row r="1048116" customFormat="false" ht="12.8" hidden="false" customHeight="false" outlineLevel="0" collapsed="false"/>
    <row r="1048117" customFormat="false" ht="12.8" hidden="false" customHeight="false" outlineLevel="0" collapsed="false"/>
    <row r="1048118" customFormat="false" ht="12.8" hidden="false" customHeight="false" outlineLevel="0" collapsed="false"/>
    <row r="1048119" customFormat="false" ht="12.8" hidden="false" customHeight="false" outlineLevel="0" collapsed="false"/>
    <row r="1048120" customFormat="false" ht="12.8" hidden="false" customHeight="false" outlineLevel="0" collapsed="false"/>
    <row r="1048121" customFormat="false" ht="12.8" hidden="false" customHeight="false" outlineLevel="0" collapsed="false"/>
    <row r="1048122" customFormat="false" ht="12.8" hidden="false" customHeight="false" outlineLevel="0" collapsed="false"/>
    <row r="1048123" customFormat="false" ht="12.8" hidden="false" customHeight="false" outlineLevel="0" collapsed="false"/>
    <row r="1048124" customFormat="false" ht="12.8" hidden="false" customHeight="false" outlineLevel="0" collapsed="false"/>
    <row r="1048125" customFormat="false" ht="12.8" hidden="false" customHeight="false" outlineLevel="0" collapsed="false"/>
    <row r="1048126" customFormat="false" ht="12.8" hidden="false" customHeight="false" outlineLevel="0" collapsed="false"/>
    <row r="1048127" customFormat="false" ht="12.8" hidden="false" customHeight="false" outlineLevel="0" collapsed="false"/>
    <row r="1048128" customFormat="false" ht="12.8" hidden="false" customHeight="false" outlineLevel="0" collapsed="false"/>
    <row r="1048129" customFormat="false" ht="12.8" hidden="false" customHeight="false" outlineLevel="0" collapsed="false"/>
    <row r="1048130" customFormat="false" ht="12.8" hidden="false" customHeight="false" outlineLevel="0" collapsed="false"/>
    <row r="1048131" customFormat="false" ht="12.8" hidden="false" customHeight="false" outlineLevel="0" collapsed="false"/>
    <row r="1048132" customFormat="false" ht="12.8" hidden="false" customHeight="false" outlineLevel="0" collapsed="false"/>
    <row r="1048133" customFormat="false" ht="12.8" hidden="false" customHeight="false" outlineLevel="0" collapsed="false"/>
    <row r="1048134" customFormat="false" ht="12.8" hidden="false" customHeight="false" outlineLevel="0" collapsed="false"/>
    <row r="1048135" customFormat="false" ht="12.8" hidden="false" customHeight="false" outlineLevel="0" collapsed="false"/>
    <row r="1048136" customFormat="false" ht="12.8" hidden="false" customHeight="false" outlineLevel="0" collapsed="false"/>
    <row r="1048137" customFormat="false" ht="12.8" hidden="false" customHeight="false" outlineLevel="0" collapsed="false"/>
    <row r="1048138" customFormat="false" ht="12.8" hidden="false" customHeight="false" outlineLevel="0" collapsed="false"/>
    <row r="1048139" customFormat="false" ht="12.8" hidden="false" customHeight="false" outlineLevel="0" collapsed="false"/>
    <row r="1048140" customFormat="false" ht="12.8" hidden="false" customHeight="false" outlineLevel="0" collapsed="false"/>
    <row r="1048141" customFormat="false" ht="12.8" hidden="false" customHeight="false" outlineLevel="0" collapsed="false"/>
    <row r="1048142" customFormat="false" ht="12.8" hidden="false" customHeight="false" outlineLevel="0" collapsed="false"/>
    <row r="1048143" customFormat="false" ht="12.8" hidden="false" customHeight="false" outlineLevel="0" collapsed="false"/>
    <row r="1048144" customFormat="false" ht="12.8" hidden="false" customHeight="false" outlineLevel="0" collapsed="false"/>
    <row r="1048145" customFormat="false" ht="12.8" hidden="false" customHeight="false" outlineLevel="0" collapsed="false"/>
    <row r="1048146" customFormat="false" ht="12.8" hidden="false" customHeight="false" outlineLevel="0" collapsed="false"/>
    <row r="1048147" customFormat="false" ht="12.8" hidden="false" customHeight="false" outlineLevel="0" collapsed="false"/>
    <row r="1048148" customFormat="false" ht="12.8" hidden="false" customHeight="false" outlineLevel="0" collapsed="false"/>
    <row r="1048149" customFormat="false" ht="12.8" hidden="false" customHeight="false" outlineLevel="0" collapsed="false"/>
    <row r="1048150" customFormat="false" ht="12.8" hidden="false" customHeight="false" outlineLevel="0" collapsed="false"/>
    <row r="1048151" customFormat="false" ht="12.8" hidden="false" customHeight="false" outlineLevel="0" collapsed="false"/>
    <row r="1048152" customFormat="false" ht="12.8" hidden="false" customHeight="false" outlineLevel="0" collapsed="false"/>
    <row r="1048153" customFormat="false" ht="12.8" hidden="false" customHeight="false" outlineLevel="0" collapsed="false"/>
    <row r="1048154" customFormat="false" ht="12.8" hidden="false" customHeight="false" outlineLevel="0" collapsed="false"/>
    <row r="1048155" customFormat="false" ht="12.8" hidden="false" customHeight="false" outlineLevel="0" collapsed="false"/>
    <row r="1048156" customFormat="false" ht="12.8" hidden="false" customHeight="false" outlineLevel="0" collapsed="false"/>
    <row r="1048157" customFormat="false" ht="12.8" hidden="false" customHeight="false" outlineLevel="0" collapsed="false"/>
    <row r="1048158" customFormat="false" ht="12.8" hidden="false" customHeight="false" outlineLevel="0" collapsed="false"/>
    <row r="1048159" customFormat="false" ht="12.8" hidden="false" customHeight="false" outlineLevel="0" collapsed="false"/>
    <row r="1048160" customFormat="false" ht="12.8" hidden="false" customHeight="false" outlineLevel="0" collapsed="false"/>
    <row r="1048161" customFormat="false" ht="12.8" hidden="false" customHeight="false" outlineLevel="0" collapsed="false"/>
    <row r="1048162" customFormat="false" ht="12.8" hidden="false" customHeight="false" outlineLevel="0" collapsed="false"/>
    <row r="1048163" customFormat="false" ht="12.8" hidden="false" customHeight="false" outlineLevel="0" collapsed="false"/>
    <row r="1048164" customFormat="false" ht="12.8" hidden="false" customHeight="false" outlineLevel="0" collapsed="false"/>
    <row r="1048165" customFormat="false" ht="12.8" hidden="false" customHeight="false" outlineLevel="0" collapsed="false"/>
    <row r="1048166" customFormat="false" ht="12.8" hidden="false" customHeight="false" outlineLevel="0" collapsed="false"/>
    <row r="1048167" customFormat="false" ht="12.8" hidden="false" customHeight="false" outlineLevel="0" collapsed="false"/>
    <row r="1048168" customFormat="false" ht="12.8" hidden="false" customHeight="false" outlineLevel="0" collapsed="false"/>
    <row r="1048169" customFormat="false" ht="12.8" hidden="false" customHeight="false" outlineLevel="0" collapsed="false"/>
    <row r="1048170" customFormat="false" ht="12.8" hidden="false" customHeight="false" outlineLevel="0" collapsed="false"/>
    <row r="1048171" customFormat="false" ht="12.8" hidden="false" customHeight="false" outlineLevel="0" collapsed="false"/>
    <row r="1048172" customFormat="false" ht="12.8" hidden="false" customHeight="false" outlineLevel="0" collapsed="false"/>
    <row r="1048173" customFormat="false" ht="12.8" hidden="false" customHeight="false" outlineLevel="0" collapsed="false"/>
    <row r="1048174" customFormat="false" ht="12.8" hidden="false" customHeight="false" outlineLevel="0" collapsed="false"/>
    <row r="1048175" customFormat="false" ht="12.8" hidden="false" customHeight="false" outlineLevel="0" collapsed="false"/>
    <row r="1048176" customFormat="false" ht="12.8" hidden="false" customHeight="false" outlineLevel="0" collapsed="false"/>
    <row r="1048177" customFormat="false" ht="12.8" hidden="false" customHeight="false" outlineLevel="0" collapsed="false"/>
    <row r="1048178" customFormat="false" ht="12.8" hidden="false" customHeight="false" outlineLevel="0" collapsed="false"/>
    <row r="1048179" customFormat="false" ht="12.8" hidden="false" customHeight="false" outlineLevel="0" collapsed="false"/>
    <row r="1048180" customFormat="false" ht="12.8" hidden="false" customHeight="false" outlineLevel="0" collapsed="false"/>
    <row r="1048181" customFormat="false" ht="12.8" hidden="false" customHeight="false" outlineLevel="0" collapsed="false"/>
    <row r="1048182" customFormat="false" ht="12.8" hidden="false" customHeight="false" outlineLevel="0" collapsed="false"/>
    <row r="1048183" customFormat="false" ht="12.8" hidden="false" customHeight="false" outlineLevel="0" collapsed="false"/>
    <row r="1048184" customFormat="false" ht="12.8" hidden="false" customHeight="false" outlineLevel="0" collapsed="false"/>
    <row r="1048185" customFormat="false" ht="12.8" hidden="false" customHeight="false" outlineLevel="0" collapsed="false"/>
    <row r="1048186" customFormat="false" ht="12.8" hidden="false" customHeight="false" outlineLevel="0" collapsed="false"/>
    <row r="1048187" customFormat="false" ht="12.8" hidden="false" customHeight="false" outlineLevel="0" collapsed="false"/>
    <row r="1048188" customFormat="false" ht="12.8" hidden="false" customHeight="false" outlineLevel="0" collapsed="false"/>
    <row r="1048189" customFormat="false" ht="12.8" hidden="false" customHeight="false" outlineLevel="0" collapsed="false"/>
    <row r="1048190" customFormat="false" ht="12.8" hidden="false" customHeight="false" outlineLevel="0" collapsed="false"/>
    <row r="1048191" customFormat="false" ht="12.8" hidden="false" customHeight="false" outlineLevel="0" collapsed="false"/>
    <row r="1048192" customFormat="false" ht="12.8" hidden="false" customHeight="false" outlineLevel="0" collapsed="false"/>
    <row r="1048193" customFormat="false" ht="12.8" hidden="false" customHeight="false" outlineLevel="0" collapsed="false"/>
    <row r="1048194" customFormat="false" ht="12.8" hidden="false" customHeight="false" outlineLevel="0" collapsed="false"/>
    <row r="1048195" customFormat="false" ht="12.8" hidden="false" customHeight="false" outlineLevel="0" collapsed="false"/>
    <row r="1048196" customFormat="false" ht="12.8" hidden="false" customHeight="false" outlineLevel="0" collapsed="false"/>
    <row r="1048197" customFormat="false" ht="12.8" hidden="false" customHeight="false" outlineLevel="0" collapsed="false"/>
    <row r="1048198" customFormat="false" ht="12.8" hidden="false" customHeight="false" outlineLevel="0" collapsed="false"/>
    <row r="1048199" customFormat="false" ht="12.8" hidden="false" customHeight="false" outlineLevel="0" collapsed="false"/>
    <row r="1048200" customFormat="false" ht="12.8" hidden="false" customHeight="false" outlineLevel="0" collapsed="false"/>
    <row r="1048201" customFormat="false" ht="12.8" hidden="false" customHeight="false" outlineLevel="0" collapsed="false"/>
    <row r="1048202" customFormat="false" ht="12.8" hidden="false" customHeight="false" outlineLevel="0" collapsed="false"/>
    <row r="1048203" customFormat="false" ht="12.8" hidden="false" customHeight="false" outlineLevel="0" collapsed="false"/>
    <row r="1048204" customFormat="false" ht="12.8" hidden="false" customHeight="false" outlineLevel="0" collapsed="false"/>
    <row r="1048205" customFormat="false" ht="12.8" hidden="false" customHeight="false" outlineLevel="0" collapsed="false"/>
    <row r="1048206" customFormat="false" ht="12.8" hidden="false" customHeight="false" outlineLevel="0" collapsed="false"/>
    <row r="1048207" customFormat="false" ht="12.8" hidden="false" customHeight="false" outlineLevel="0" collapsed="false"/>
    <row r="1048208" customFormat="false" ht="12.8" hidden="false" customHeight="false" outlineLevel="0" collapsed="false"/>
    <row r="1048209" customFormat="false" ht="12.8" hidden="false" customHeight="false" outlineLevel="0" collapsed="false"/>
    <row r="1048210" customFormat="false" ht="12.8" hidden="false" customHeight="false" outlineLevel="0" collapsed="false"/>
    <row r="1048211" customFormat="false" ht="12.8" hidden="false" customHeight="false" outlineLevel="0" collapsed="false"/>
    <row r="1048212" customFormat="false" ht="12.8" hidden="false" customHeight="false" outlineLevel="0" collapsed="false"/>
    <row r="1048213" customFormat="false" ht="12.8" hidden="false" customHeight="false" outlineLevel="0" collapsed="false"/>
    <row r="1048214" customFormat="false" ht="12.8" hidden="false" customHeight="false" outlineLevel="0" collapsed="false"/>
    <row r="1048215" customFormat="false" ht="12.8" hidden="false" customHeight="false" outlineLevel="0" collapsed="false"/>
    <row r="1048216" customFormat="false" ht="12.8" hidden="false" customHeight="false" outlineLevel="0" collapsed="false"/>
    <row r="1048217" customFormat="false" ht="12.8" hidden="false" customHeight="false" outlineLevel="0" collapsed="false"/>
    <row r="1048218" customFormat="false" ht="12.8" hidden="false" customHeight="false" outlineLevel="0" collapsed="false"/>
    <row r="1048219" customFormat="false" ht="12.8" hidden="false" customHeight="false" outlineLevel="0" collapsed="false"/>
    <row r="1048220" customFormat="false" ht="12.8" hidden="false" customHeight="false" outlineLevel="0" collapsed="false"/>
    <row r="1048221" customFormat="false" ht="12.8" hidden="false" customHeight="false" outlineLevel="0" collapsed="false"/>
    <row r="1048222" customFormat="false" ht="12.8" hidden="false" customHeight="false" outlineLevel="0" collapsed="false"/>
    <row r="1048223" customFormat="false" ht="12.8" hidden="false" customHeight="false" outlineLevel="0" collapsed="false"/>
    <row r="1048224" customFormat="false" ht="12.8" hidden="false" customHeight="false" outlineLevel="0" collapsed="false"/>
    <row r="1048225" customFormat="false" ht="12.8" hidden="false" customHeight="false" outlineLevel="0" collapsed="false"/>
    <row r="1048226" customFormat="false" ht="12.8" hidden="false" customHeight="false" outlineLevel="0" collapsed="false"/>
    <row r="1048227" customFormat="false" ht="12.8" hidden="false" customHeight="false" outlineLevel="0" collapsed="false"/>
    <row r="1048228" customFormat="false" ht="12.8" hidden="false" customHeight="false" outlineLevel="0" collapsed="false"/>
    <row r="1048229" customFormat="false" ht="12.8" hidden="false" customHeight="false" outlineLevel="0" collapsed="false"/>
    <row r="1048230" customFormat="false" ht="12.8" hidden="false" customHeight="false" outlineLevel="0" collapsed="false"/>
    <row r="1048231" customFormat="false" ht="12.8" hidden="false" customHeight="false" outlineLevel="0" collapsed="false"/>
    <row r="1048232" customFormat="false" ht="12.8" hidden="false" customHeight="false" outlineLevel="0" collapsed="false"/>
    <row r="1048233" customFormat="false" ht="12.8" hidden="false" customHeight="false" outlineLevel="0" collapsed="false"/>
    <row r="1048234" customFormat="false" ht="12.8" hidden="false" customHeight="false" outlineLevel="0" collapsed="false"/>
    <row r="1048235" customFormat="false" ht="12.8" hidden="false" customHeight="false" outlineLevel="0" collapsed="false"/>
    <row r="1048236" customFormat="false" ht="12.8" hidden="false" customHeight="false" outlineLevel="0" collapsed="false"/>
    <row r="1048237" customFormat="false" ht="12.8" hidden="false" customHeight="false" outlineLevel="0" collapsed="false"/>
    <row r="1048238" customFormat="false" ht="12.8" hidden="false" customHeight="false" outlineLevel="0" collapsed="false"/>
    <row r="1048239" customFormat="false" ht="12.8" hidden="false" customHeight="false" outlineLevel="0" collapsed="false"/>
    <row r="1048240" customFormat="false" ht="12.8" hidden="false" customHeight="false" outlineLevel="0" collapsed="false"/>
    <row r="1048241" customFormat="false" ht="12.8" hidden="false" customHeight="false" outlineLevel="0" collapsed="false"/>
    <row r="1048242" customFormat="false" ht="12.8" hidden="false" customHeight="false" outlineLevel="0" collapsed="false"/>
    <row r="1048243" customFormat="false" ht="12.8" hidden="false" customHeight="false" outlineLevel="0" collapsed="false"/>
    <row r="1048244" customFormat="false" ht="12.8" hidden="false" customHeight="false" outlineLevel="0" collapsed="false"/>
    <row r="1048245" customFormat="false" ht="12.8" hidden="false" customHeight="false" outlineLevel="0" collapsed="false"/>
    <row r="1048246" customFormat="false" ht="12.8" hidden="false" customHeight="false" outlineLevel="0" collapsed="false"/>
    <row r="1048247" customFormat="false" ht="12.8" hidden="false" customHeight="false" outlineLevel="0" collapsed="false"/>
    <row r="1048248" customFormat="false" ht="12.8" hidden="false" customHeight="false" outlineLevel="0" collapsed="false"/>
    <row r="1048249" customFormat="false" ht="12.8" hidden="false" customHeight="false" outlineLevel="0" collapsed="false"/>
    <row r="1048250" customFormat="false" ht="12.8" hidden="false" customHeight="false" outlineLevel="0" collapsed="false"/>
    <row r="1048251" customFormat="false" ht="12.8" hidden="false" customHeight="false" outlineLevel="0" collapsed="false"/>
    <row r="1048252" customFormat="false" ht="12.8" hidden="false" customHeight="false" outlineLevel="0" collapsed="false"/>
    <row r="1048253" customFormat="false" ht="12.8" hidden="false" customHeight="false" outlineLevel="0" collapsed="false"/>
    <row r="1048254" customFormat="false" ht="12.8" hidden="false" customHeight="false" outlineLevel="0" collapsed="false"/>
    <row r="1048255" customFormat="false" ht="12.8" hidden="false" customHeight="false" outlineLevel="0" collapsed="false"/>
    <row r="1048256" customFormat="false" ht="12.8" hidden="false" customHeight="false" outlineLevel="0" collapsed="false"/>
    <row r="1048257" customFormat="false" ht="12.8" hidden="false" customHeight="false" outlineLevel="0" collapsed="false"/>
    <row r="1048258" customFormat="false" ht="12.8" hidden="false" customHeight="false" outlineLevel="0" collapsed="false"/>
    <row r="1048259" customFormat="false" ht="12.8" hidden="false" customHeight="false" outlineLevel="0" collapsed="false"/>
    <row r="1048260" customFormat="false" ht="12.8" hidden="false" customHeight="false" outlineLevel="0" collapsed="false"/>
    <row r="1048261" customFormat="false" ht="12.8" hidden="false" customHeight="false" outlineLevel="0" collapsed="false"/>
    <row r="1048262" customFormat="false" ht="12.8" hidden="false" customHeight="false" outlineLevel="0" collapsed="false"/>
    <row r="1048263" customFormat="false" ht="12.8" hidden="false" customHeight="false" outlineLevel="0" collapsed="false"/>
    <row r="1048264" customFormat="false" ht="12.8" hidden="false" customHeight="false" outlineLevel="0" collapsed="false"/>
    <row r="1048265" customFormat="false" ht="12.8" hidden="false" customHeight="false" outlineLevel="0" collapsed="false"/>
    <row r="1048266" customFormat="false" ht="12.8" hidden="false" customHeight="false" outlineLevel="0" collapsed="false"/>
    <row r="1048267" customFormat="false" ht="12.8" hidden="false" customHeight="false" outlineLevel="0" collapsed="false"/>
    <row r="1048268" customFormat="false" ht="12.8" hidden="false" customHeight="false" outlineLevel="0" collapsed="false"/>
    <row r="1048269" customFormat="false" ht="12.8" hidden="false" customHeight="false" outlineLevel="0" collapsed="false"/>
    <row r="1048270" customFormat="false" ht="12.8" hidden="false" customHeight="false" outlineLevel="0" collapsed="false"/>
    <row r="1048271" customFormat="false" ht="12.8" hidden="false" customHeight="false" outlineLevel="0" collapsed="false"/>
    <row r="1048272" customFormat="false" ht="12.8" hidden="false" customHeight="false" outlineLevel="0" collapsed="false"/>
    <row r="1048273" customFormat="false" ht="12.8" hidden="false" customHeight="false" outlineLevel="0" collapsed="false"/>
    <row r="1048274" customFormat="false" ht="12.8" hidden="false" customHeight="false" outlineLevel="0" collapsed="false"/>
    <row r="1048275" customFormat="false" ht="12.8" hidden="false" customHeight="false" outlineLevel="0" collapsed="false"/>
    <row r="1048276" customFormat="false" ht="12.8" hidden="false" customHeight="false" outlineLevel="0" collapsed="false"/>
    <row r="1048277" customFormat="false" ht="12.8" hidden="false" customHeight="false" outlineLevel="0" collapsed="false"/>
    <row r="1048278" customFormat="false" ht="12.8" hidden="false" customHeight="false" outlineLevel="0" collapsed="false"/>
    <row r="1048279" customFormat="false" ht="12.8" hidden="false" customHeight="false" outlineLevel="0" collapsed="false"/>
    <row r="1048280" customFormat="false" ht="12.8" hidden="false" customHeight="false" outlineLevel="0" collapsed="false"/>
    <row r="1048281" customFormat="false" ht="12.8" hidden="false" customHeight="false" outlineLevel="0" collapsed="false"/>
    <row r="1048282" customFormat="false" ht="12.8" hidden="false" customHeight="false" outlineLevel="0" collapsed="false"/>
    <row r="1048283" customFormat="false" ht="12.8" hidden="false" customHeight="false" outlineLevel="0" collapsed="false"/>
    <row r="1048284" customFormat="false" ht="12.8" hidden="false" customHeight="false" outlineLevel="0" collapsed="false"/>
    <row r="1048285" customFormat="false" ht="12.8" hidden="false" customHeight="false" outlineLevel="0" collapsed="false"/>
    <row r="1048286" customFormat="false" ht="12.8" hidden="false" customHeight="false" outlineLevel="0" collapsed="false"/>
    <row r="1048287" customFormat="false" ht="12.8" hidden="false" customHeight="false" outlineLevel="0" collapsed="false"/>
    <row r="1048288" customFormat="false" ht="12.8" hidden="false" customHeight="false" outlineLevel="0" collapsed="false"/>
    <row r="1048289" customFormat="false" ht="12.8" hidden="false" customHeight="false" outlineLevel="0" collapsed="false"/>
    <row r="1048290" customFormat="false" ht="12.8" hidden="false" customHeight="false" outlineLevel="0" collapsed="false"/>
    <row r="1048291" customFormat="false" ht="12.8" hidden="false" customHeight="false" outlineLevel="0" collapsed="false"/>
    <row r="1048292" customFormat="false" ht="12.8" hidden="false" customHeight="false" outlineLevel="0" collapsed="false"/>
    <row r="1048293" customFormat="false" ht="12.8" hidden="false" customHeight="false" outlineLevel="0" collapsed="false"/>
    <row r="1048294" customFormat="false" ht="12.8" hidden="false" customHeight="false" outlineLevel="0" collapsed="false"/>
    <row r="1048295" customFormat="false" ht="12.8" hidden="false" customHeight="false" outlineLevel="0" collapsed="false"/>
    <row r="1048296" customFormat="false" ht="12.8" hidden="false" customHeight="false" outlineLevel="0" collapsed="false"/>
    <row r="1048297" customFormat="false" ht="12.8" hidden="false" customHeight="false" outlineLevel="0" collapsed="false"/>
    <row r="1048298" customFormat="false" ht="12.8" hidden="false" customHeight="false" outlineLevel="0" collapsed="false"/>
    <row r="1048299" customFormat="false" ht="12.8" hidden="false" customHeight="false" outlineLevel="0" collapsed="false"/>
    <row r="1048300" customFormat="false" ht="12.8" hidden="false" customHeight="false" outlineLevel="0" collapsed="false"/>
    <row r="1048301" customFormat="false" ht="12.8" hidden="false" customHeight="false" outlineLevel="0" collapsed="false"/>
    <row r="1048302" customFormat="false" ht="12.8" hidden="false" customHeight="false" outlineLevel="0" collapsed="false"/>
    <row r="1048303" customFormat="false" ht="12.8" hidden="false" customHeight="false" outlineLevel="0" collapsed="false"/>
    <row r="1048304" customFormat="false" ht="12.8" hidden="false" customHeight="false" outlineLevel="0" collapsed="false"/>
    <row r="1048305" customFormat="false" ht="12.8" hidden="false" customHeight="false" outlineLevel="0" collapsed="false"/>
    <row r="1048306" customFormat="false" ht="12.8" hidden="false" customHeight="false" outlineLevel="0" collapsed="false"/>
    <row r="1048307" customFormat="false" ht="12.8" hidden="false" customHeight="false" outlineLevel="0" collapsed="false"/>
    <row r="1048308" customFormat="false" ht="12.8" hidden="false" customHeight="false" outlineLevel="0" collapsed="false"/>
    <row r="1048309" customFormat="false" ht="12.8" hidden="false" customHeight="false" outlineLevel="0" collapsed="false"/>
    <row r="1048310" customFormat="false" ht="12.8" hidden="false" customHeight="false" outlineLevel="0" collapsed="false"/>
    <row r="1048311" customFormat="false" ht="12.8" hidden="false" customHeight="false" outlineLevel="0" collapsed="false"/>
    <row r="1048312" customFormat="false" ht="12.8" hidden="false" customHeight="false" outlineLevel="0" collapsed="false"/>
    <row r="1048313" customFormat="false" ht="12.8" hidden="false" customHeight="false" outlineLevel="0" collapsed="false"/>
    <row r="1048314" customFormat="false" ht="12.8" hidden="false" customHeight="false" outlineLevel="0" collapsed="false"/>
    <row r="1048315" customFormat="false" ht="12.8" hidden="false" customHeight="false" outlineLevel="0" collapsed="false"/>
    <row r="1048316" customFormat="false" ht="12.8" hidden="false" customHeight="false" outlineLevel="0" collapsed="false"/>
    <row r="1048317" customFormat="false" ht="12.8" hidden="false" customHeight="false" outlineLevel="0" collapsed="false"/>
    <row r="1048318" customFormat="false" ht="12.8" hidden="false" customHeight="false" outlineLevel="0" collapsed="false"/>
    <row r="1048319" customFormat="false" ht="12.8" hidden="false" customHeight="false" outlineLevel="0" collapsed="false"/>
    <row r="1048320" customFormat="false" ht="12.8" hidden="false" customHeight="false" outlineLevel="0" collapsed="false"/>
    <row r="1048321" customFormat="false" ht="12.8" hidden="false" customHeight="false" outlineLevel="0" collapsed="false"/>
    <row r="1048322" customFormat="false" ht="12.8" hidden="false" customHeight="false" outlineLevel="0" collapsed="false"/>
    <row r="1048323" customFormat="false" ht="12.8" hidden="false" customHeight="false" outlineLevel="0" collapsed="false"/>
    <row r="1048324" customFormat="false" ht="12.8" hidden="false" customHeight="false" outlineLevel="0" collapsed="false"/>
    <row r="1048325" customFormat="false" ht="12.8" hidden="false" customHeight="false" outlineLevel="0" collapsed="false"/>
    <row r="1048326" customFormat="false" ht="12.8" hidden="false" customHeight="false" outlineLevel="0" collapsed="false"/>
    <row r="1048327" customFormat="false" ht="12.8" hidden="false" customHeight="false" outlineLevel="0" collapsed="false"/>
    <row r="1048328" customFormat="false" ht="12.8" hidden="false" customHeight="false" outlineLevel="0" collapsed="false"/>
    <row r="1048329" customFormat="false" ht="12.8" hidden="false" customHeight="false" outlineLevel="0" collapsed="false"/>
    <row r="1048330" customFormat="false" ht="12.8" hidden="false" customHeight="false" outlineLevel="0" collapsed="false"/>
    <row r="1048331" customFormat="false" ht="12.8" hidden="false" customHeight="false" outlineLevel="0" collapsed="false"/>
    <row r="1048332" customFormat="false" ht="12.8" hidden="false" customHeight="false" outlineLevel="0" collapsed="false"/>
    <row r="1048333" customFormat="false" ht="12.8" hidden="false" customHeight="false" outlineLevel="0" collapsed="false"/>
    <row r="1048334" customFormat="false" ht="12.8" hidden="false" customHeight="false" outlineLevel="0" collapsed="false"/>
    <row r="1048335" customFormat="false" ht="12.8" hidden="false" customHeight="false" outlineLevel="0" collapsed="false"/>
    <row r="1048336" customFormat="false" ht="12.8" hidden="false" customHeight="false" outlineLevel="0" collapsed="false"/>
    <row r="1048337" customFormat="false" ht="12.8" hidden="false" customHeight="false" outlineLevel="0" collapsed="false"/>
    <row r="1048338" customFormat="false" ht="12.8" hidden="false" customHeight="false" outlineLevel="0" collapsed="false"/>
    <row r="1048339" customFormat="false" ht="12.8" hidden="false" customHeight="false" outlineLevel="0" collapsed="false"/>
    <row r="1048340" customFormat="false" ht="12.8" hidden="false" customHeight="false" outlineLevel="0" collapsed="false"/>
    <row r="1048341" customFormat="false" ht="12.8" hidden="false" customHeight="false" outlineLevel="0" collapsed="false"/>
    <row r="1048342" customFormat="false" ht="12.8" hidden="false" customHeight="false" outlineLevel="0" collapsed="false"/>
    <row r="1048343" customFormat="false" ht="12.8" hidden="false" customHeight="false" outlineLevel="0" collapsed="false"/>
    <row r="1048344" customFormat="false" ht="12.8" hidden="false" customHeight="false" outlineLevel="0" collapsed="false"/>
    <row r="1048345" customFormat="false" ht="12.8" hidden="false" customHeight="false" outlineLevel="0" collapsed="false"/>
    <row r="1048346" customFormat="false" ht="12.8" hidden="false" customHeight="false" outlineLevel="0" collapsed="false"/>
    <row r="1048347" customFormat="false" ht="12.8" hidden="false" customHeight="false" outlineLevel="0" collapsed="false"/>
    <row r="1048348" customFormat="false" ht="12.8" hidden="false" customHeight="false" outlineLevel="0" collapsed="false"/>
    <row r="1048349" customFormat="false" ht="12.8" hidden="false" customHeight="false" outlineLevel="0" collapsed="false"/>
    <row r="1048350" customFormat="false" ht="12.8" hidden="false" customHeight="false" outlineLevel="0" collapsed="false"/>
    <row r="1048351" customFormat="false" ht="12.8" hidden="false" customHeight="false" outlineLevel="0" collapsed="false"/>
    <row r="1048352" customFormat="false" ht="12.8" hidden="false" customHeight="false" outlineLevel="0" collapsed="false"/>
    <row r="1048353" customFormat="false" ht="12.8" hidden="false" customHeight="false" outlineLevel="0" collapsed="false"/>
    <row r="1048354" customFormat="false" ht="12.8" hidden="false" customHeight="false" outlineLevel="0" collapsed="false"/>
    <row r="1048355" customFormat="false" ht="12.8" hidden="false" customHeight="false" outlineLevel="0" collapsed="false"/>
    <row r="1048356" customFormat="false" ht="12.8" hidden="false" customHeight="false" outlineLevel="0" collapsed="false"/>
    <row r="1048357" customFormat="false" ht="12.8" hidden="false" customHeight="false" outlineLevel="0" collapsed="false"/>
    <row r="1048358" customFormat="false" ht="12.8" hidden="false" customHeight="false" outlineLevel="0" collapsed="false"/>
    <row r="1048359" customFormat="false" ht="12.8" hidden="false" customHeight="false" outlineLevel="0" collapsed="false"/>
    <row r="1048360" customFormat="false" ht="12.8" hidden="false" customHeight="false" outlineLevel="0" collapsed="false"/>
    <row r="1048361" customFormat="false" ht="12.8" hidden="false" customHeight="false" outlineLevel="0" collapsed="false"/>
    <row r="1048362" customFormat="false" ht="12.8" hidden="false" customHeight="false" outlineLevel="0" collapsed="false"/>
    <row r="1048363" customFormat="false" ht="12.8" hidden="false" customHeight="false" outlineLevel="0" collapsed="false"/>
    <row r="1048364" customFormat="false" ht="12.8" hidden="false" customHeight="false" outlineLevel="0" collapsed="false"/>
    <row r="1048365" customFormat="false" ht="12.8" hidden="false" customHeight="false" outlineLevel="0" collapsed="false"/>
    <row r="1048366" customFormat="false" ht="12.8" hidden="false" customHeight="false" outlineLevel="0" collapsed="false"/>
    <row r="1048367" customFormat="false" ht="12.8" hidden="false" customHeight="false" outlineLevel="0" collapsed="false"/>
    <row r="1048368" customFormat="false" ht="12.8" hidden="false" customHeight="false" outlineLevel="0" collapsed="false"/>
    <row r="1048369" customFormat="false" ht="12.8" hidden="false" customHeight="false" outlineLevel="0" collapsed="false"/>
    <row r="1048370" customFormat="false" ht="12.8" hidden="false" customHeight="false" outlineLevel="0" collapsed="false"/>
    <row r="1048371" customFormat="false" ht="12.8" hidden="false" customHeight="false" outlineLevel="0" collapsed="false"/>
    <row r="1048372" customFormat="false" ht="12.8" hidden="false" customHeight="false" outlineLevel="0" collapsed="false"/>
    <row r="1048373" customFormat="false" ht="12.8" hidden="false" customHeight="false" outlineLevel="0" collapsed="false"/>
    <row r="1048374" customFormat="false" ht="12.8" hidden="false" customHeight="false" outlineLevel="0" collapsed="false"/>
    <row r="1048375" customFormat="false" ht="12.8" hidden="false" customHeight="false" outlineLevel="0" collapsed="false"/>
    <row r="1048376" customFormat="false" ht="12.8" hidden="false" customHeight="false" outlineLevel="0" collapsed="false"/>
    <row r="1048377" customFormat="false" ht="12.8" hidden="false" customHeight="false" outlineLevel="0" collapsed="false"/>
    <row r="1048378" customFormat="false" ht="12.8" hidden="false" customHeight="false" outlineLevel="0" collapsed="false"/>
    <row r="1048379" customFormat="false" ht="12.8" hidden="false" customHeight="false" outlineLevel="0" collapsed="false"/>
    <row r="1048380" customFormat="false" ht="12.8" hidden="false" customHeight="false" outlineLevel="0" collapsed="false"/>
    <row r="1048381" customFormat="false" ht="12.8" hidden="false" customHeight="false" outlineLevel="0" collapsed="false"/>
    <row r="1048382" customFormat="false" ht="12.8" hidden="false" customHeight="false" outlineLevel="0" collapsed="false"/>
    <row r="1048383" customFormat="false" ht="12.8" hidden="false" customHeight="false" outlineLevel="0" collapsed="false"/>
    <row r="1048384" customFormat="false" ht="12.8" hidden="false" customHeight="false" outlineLevel="0" collapsed="false"/>
    <row r="1048385" customFormat="false" ht="12.8" hidden="false" customHeight="false" outlineLevel="0" collapsed="false"/>
    <row r="1048386" customFormat="false" ht="12.8" hidden="false" customHeight="false" outlineLevel="0" collapsed="false"/>
    <row r="1048387" customFormat="false" ht="12.8" hidden="false" customHeight="false" outlineLevel="0" collapsed="false"/>
    <row r="1048388" customFormat="false" ht="12.8" hidden="false" customHeight="false" outlineLevel="0" collapsed="false"/>
    <row r="1048389" customFormat="false" ht="12.8" hidden="false" customHeight="false" outlineLevel="0" collapsed="false"/>
    <row r="1048390" customFormat="false" ht="12.8" hidden="false" customHeight="false" outlineLevel="0" collapsed="false"/>
    <row r="1048391" customFormat="false" ht="12.8" hidden="false" customHeight="false" outlineLevel="0" collapsed="false"/>
    <row r="1048392" customFormat="false" ht="12.8" hidden="false" customHeight="false" outlineLevel="0" collapsed="false"/>
    <row r="1048393" customFormat="false" ht="12.8" hidden="false" customHeight="false" outlineLevel="0" collapsed="false"/>
    <row r="1048394" customFormat="false" ht="12.8" hidden="false" customHeight="false" outlineLevel="0" collapsed="false"/>
    <row r="1048395" customFormat="false" ht="12.8" hidden="false" customHeight="false" outlineLevel="0" collapsed="false"/>
    <row r="1048396" customFormat="false" ht="12.8" hidden="false" customHeight="false" outlineLevel="0" collapsed="false"/>
    <row r="1048397" customFormat="false" ht="12.8" hidden="false" customHeight="false" outlineLevel="0" collapsed="false"/>
    <row r="1048398" customFormat="false" ht="12.8" hidden="false" customHeight="false" outlineLevel="0" collapsed="false"/>
    <row r="1048399" customFormat="false" ht="12.8" hidden="false" customHeight="false" outlineLevel="0" collapsed="false"/>
    <row r="1048400" customFormat="false" ht="12.8" hidden="false" customHeight="false" outlineLevel="0" collapsed="false"/>
    <row r="1048401" customFormat="false" ht="12.8" hidden="false" customHeight="false" outlineLevel="0" collapsed="false"/>
    <row r="1048402" customFormat="false" ht="12.8" hidden="false" customHeight="false" outlineLevel="0" collapsed="false"/>
    <row r="1048403" customFormat="false" ht="12.8" hidden="false" customHeight="false" outlineLevel="0" collapsed="false"/>
    <row r="1048404" customFormat="false" ht="12.8" hidden="false" customHeight="false" outlineLevel="0" collapsed="false"/>
    <row r="1048405" customFormat="false" ht="12.8" hidden="false" customHeight="false" outlineLevel="0" collapsed="false"/>
    <row r="1048406" customFormat="false" ht="12.8" hidden="false" customHeight="false" outlineLevel="0" collapsed="false"/>
    <row r="1048407" customFormat="false" ht="12.8" hidden="false" customHeight="false" outlineLevel="0" collapsed="false"/>
    <row r="1048408" customFormat="false" ht="12.8" hidden="false" customHeight="false" outlineLevel="0" collapsed="false"/>
    <row r="1048409" customFormat="false" ht="12.8" hidden="false" customHeight="false" outlineLevel="0" collapsed="false"/>
    <row r="1048410" customFormat="false" ht="12.8" hidden="false" customHeight="false" outlineLevel="0" collapsed="false"/>
    <row r="1048411" customFormat="false" ht="12.8" hidden="false" customHeight="false" outlineLevel="0" collapsed="false"/>
    <row r="1048412" customFormat="false" ht="12.8" hidden="false" customHeight="false" outlineLevel="0" collapsed="false"/>
    <row r="1048413" customFormat="false" ht="12.8" hidden="false" customHeight="false" outlineLevel="0" collapsed="false"/>
    <row r="1048414" customFormat="false" ht="12.8" hidden="false" customHeight="false" outlineLevel="0" collapsed="false"/>
    <row r="1048415" customFormat="false" ht="12.8" hidden="false" customHeight="false" outlineLevel="0" collapsed="false"/>
    <row r="1048416" customFormat="false" ht="12.8" hidden="false" customHeight="false" outlineLevel="0" collapsed="false"/>
    <row r="1048417" customFormat="false" ht="12.8" hidden="false" customHeight="false" outlineLevel="0" collapsed="false"/>
    <row r="1048418" customFormat="false" ht="12.8" hidden="false" customHeight="false" outlineLevel="0" collapsed="false"/>
    <row r="1048419" customFormat="false" ht="12.8" hidden="false" customHeight="false" outlineLevel="0" collapsed="false"/>
    <row r="1048420" customFormat="false" ht="12.8" hidden="false" customHeight="false" outlineLevel="0" collapsed="false"/>
    <row r="1048421" customFormat="false" ht="12.8" hidden="false" customHeight="false" outlineLevel="0" collapsed="false"/>
    <row r="1048422" customFormat="false" ht="12.8" hidden="false" customHeight="false" outlineLevel="0" collapsed="false"/>
    <row r="1048423" customFormat="false" ht="12.8" hidden="false" customHeight="false" outlineLevel="0" collapsed="false"/>
    <row r="1048424" customFormat="false" ht="12.8" hidden="false" customHeight="false" outlineLevel="0" collapsed="false"/>
    <row r="1048425" customFormat="false" ht="12.8" hidden="false" customHeight="false" outlineLevel="0" collapsed="false"/>
    <row r="1048426" customFormat="false" ht="12.8" hidden="false" customHeight="false" outlineLevel="0" collapsed="false"/>
    <row r="1048427" customFormat="false" ht="12.8" hidden="false" customHeight="false" outlineLevel="0" collapsed="false"/>
    <row r="1048428" customFormat="false" ht="12.8" hidden="false" customHeight="false" outlineLevel="0" collapsed="false"/>
    <row r="1048429" customFormat="false" ht="12.8" hidden="false" customHeight="false" outlineLevel="0" collapsed="false"/>
    <row r="1048430" customFormat="false" ht="12.8" hidden="false" customHeight="false" outlineLevel="0" collapsed="false"/>
    <row r="1048431" customFormat="false" ht="12.8" hidden="false" customHeight="false" outlineLevel="0" collapsed="false"/>
    <row r="1048432" customFormat="false" ht="12.8" hidden="false" customHeight="false" outlineLevel="0" collapsed="false"/>
    <row r="1048433" customFormat="false" ht="12.8" hidden="false" customHeight="false" outlineLevel="0" collapsed="false"/>
    <row r="1048434" customFormat="false" ht="12.8" hidden="false" customHeight="false" outlineLevel="0" collapsed="false"/>
    <row r="1048435" customFormat="false" ht="12.8" hidden="false" customHeight="false" outlineLevel="0" collapsed="false"/>
    <row r="1048436" customFormat="false" ht="12.8" hidden="false" customHeight="false" outlineLevel="0" collapsed="false"/>
    <row r="1048437" customFormat="false" ht="12.8" hidden="false" customHeight="false" outlineLevel="0" collapsed="false"/>
    <row r="1048438" customFormat="false" ht="12.8" hidden="false" customHeight="false" outlineLevel="0" collapsed="false"/>
    <row r="1048439" customFormat="false" ht="12.8" hidden="false" customHeight="false" outlineLevel="0" collapsed="false"/>
    <row r="1048440" customFormat="false" ht="12.8" hidden="false" customHeight="false" outlineLevel="0" collapsed="false"/>
    <row r="1048441" customFormat="false" ht="12.8" hidden="false" customHeight="false" outlineLevel="0" collapsed="false"/>
    <row r="1048442" customFormat="false" ht="12.8" hidden="false" customHeight="false" outlineLevel="0" collapsed="false"/>
    <row r="1048443" customFormat="false" ht="12.8" hidden="false" customHeight="false" outlineLevel="0" collapsed="false"/>
    <row r="1048444" customFormat="false" ht="12.8" hidden="false" customHeight="false" outlineLevel="0" collapsed="false"/>
    <row r="1048445" customFormat="false" ht="12.8" hidden="false" customHeight="false" outlineLevel="0" collapsed="false"/>
    <row r="1048446" customFormat="false" ht="12.8" hidden="false" customHeight="false" outlineLevel="0" collapsed="false"/>
    <row r="1048447" customFormat="false" ht="12.8" hidden="false" customHeight="false" outlineLevel="0" collapsed="false"/>
    <row r="1048448" customFormat="false" ht="12.8" hidden="false" customHeight="false" outlineLevel="0" collapsed="false"/>
    <row r="1048449" customFormat="false" ht="12.8" hidden="false" customHeight="false" outlineLevel="0" collapsed="false"/>
    <row r="1048450" customFormat="false" ht="12.8" hidden="false" customHeight="false" outlineLevel="0" collapsed="false"/>
    <row r="1048451" customFormat="false" ht="12.8" hidden="false" customHeight="false" outlineLevel="0" collapsed="false"/>
    <row r="1048452" customFormat="false" ht="12.8" hidden="false" customHeight="false" outlineLevel="0" collapsed="false"/>
    <row r="1048453" customFormat="false" ht="12.8" hidden="false" customHeight="false" outlineLevel="0" collapsed="false"/>
    <row r="1048454" customFormat="false" ht="12.8" hidden="false" customHeight="false" outlineLevel="0" collapsed="false"/>
    <row r="1048455" customFormat="false" ht="12.8" hidden="false" customHeight="false" outlineLevel="0" collapsed="false"/>
    <row r="1048456" customFormat="false" ht="12.8" hidden="false" customHeight="false" outlineLevel="0" collapsed="false"/>
    <row r="1048457" customFormat="false" ht="12.8" hidden="false" customHeight="false" outlineLevel="0" collapsed="false"/>
    <row r="1048458" customFormat="false" ht="12.8" hidden="false" customHeight="false" outlineLevel="0" collapsed="false"/>
    <row r="1048459" customFormat="false" ht="12.8" hidden="false" customHeight="false" outlineLevel="0" collapsed="false"/>
    <row r="1048460" customFormat="false" ht="12.8" hidden="false" customHeight="false" outlineLevel="0" collapsed="false"/>
    <row r="1048461" customFormat="false" ht="12.8" hidden="false" customHeight="false" outlineLevel="0" collapsed="false"/>
    <row r="1048462" customFormat="false" ht="12.8" hidden="false" customHeight="false" outlineLevel="0" collapsed="false"/>
    <row r="1048463" customFormat="false" ht="12.8" hidden="false" customHeight="false" outlineLevel="0" collapsed="false"/>
    <row r="1048464" customFormat="false" ht="12.8" hidden="false" customHeight="false" outlineLevel="0" collapsed="false"/>
    <row r="1048465" customFormat="false" ht="12.8" hidden="false" customHeight="false" outlineLevel="0" collapsed="false"/>
    <row r="1048466" customFormat="false" ht="12.8" hidden="false" customHeight="false" outlineLevel="0" collapsed="false"/>
    <row r="1048467" customFormat="false" ht="12.8" hidden="false" customHeight="false" outlineLevel="0" collapsed="false"/>
    <row r="1048468" customFormat="false" ht="12.8" hidden="false" customHeight="false" outlineLevel="0" collapsed="false"/>
    <row r="1048469" customFormat="false" ht="12.8" hidden="false" customHeight="false" outlineLevel="0" collapsed="false"/>
    <row r="1048470" customFormat="false" ht="12.8" hidden="false" customHeight="false" outlineLevel="0" collapsed="false"/>
    <row r="1048471" customFormat="false" ht="12.8" hidden="false" customHeight="false" outlineLevel="0" collapsed="false"/>
    <row r="1048472" customFormat="false" ht="12.8" hidden="false" customHeight="false" outlineLevel="0" collapsed="false"/>
    <row r="1048473" customFormat="false" ht="12.8" hidden="false" customHeight="false" outlineLevel="0" collapsed="false"/>
    <row r="1048474" customFormat="false" ht="12.8" hidden="false" customHeight="false" outlineLevel="0" collapsed="false"/>
    <row r="1048475" customFormat="false" ht="12.8" hidden="false" customHeight="false" outlineLevel="0" collapsed="false"/>
    <row r="1048476" customFormat="false" ht="12.8" hidden="false" customHeight="false" outlineLevel="0" collapsed="false"/>
    <row r="1048477" customFormat="false" ht="12.8" hidden="false" customHeight="false" outlineLevel="0" collapsed="false"/>
    <row r="1048478" customFormat="false" ht="12.8" hidden="false" customHeight="false" outlineLevel="0" collapsed="false"/>
    <row r="1048479" customFormat="false" ht="12.8" hidden="false" customHeight="false" outlineLevel="0" collapsed="false"/>
    <row r="1048480" customFormat="false" ht="12.8" hidden="false" customHeight="false" outlineLevel="0" collapsed="false"/>
    <row r="1048481" customFormat="false" ht="12.8" hidden="false" customHeight="false" outlineLevel="0" collapsed="false"/>
    <row r="1048482" customFormat="false" ht="12.8" hidden="false" customHeight="false" outlineLevel="0" collapsed="false"/>
    <row r="1048483" customFormat="false" ht="12.8" hidden="false" customHeight="false" outlineLevel="0" collapsed="false"/>
    <row r="1048484" customFormat="false" ht="12.8" hidden="false" customHeight="false" outlineLevel="0" collapsed="false"/>
    <row r="1048485" customFormat="false" ht="12.8" hidden="false" customHeight="false" outlineLevel="0" collapsed="false"/>
    <row r="1048486" customFormat="false" ht="12.8" hidden="false" customHeight="false" outlineLevel="0" collapsed="false"/>
    <row r="1048487" customFormat="false" ht="12.8" hidden="false" customHeight="false" outlineLevel="0" collapsed="false"/>
    <row r="1048488" customFormat="false" ht="12.8" hidden="false" customHeight="false" outlineLevel="0" collapsed="false"/>
    <row r="1048489" customFormat="false" ht="12.8" hidden="false" customHeight="false" outlineLevel="0" collapsed="false"/>
    <row r="1048490" customFormat="false" ht="12.8" hidden="false" customHeight="false" outlineLevel="0" collapsed="false"/>
    <row r="1048491" customFormat="false" ht="12.8" hidden="false" customHeight="false" outlineLevel="0" collapsed="false"/>
    <row r="1048492" customFormat="false" ht="12.8" hidden="false" customHeight="false" outlineLevel="0" collapsed="false"/>
    <row r="1048493" customFormat="false" ht="12.8" hidden="false" customHeight="false" outlineLevel="0" collapsed="false"/>
    <row r="1048494" customFormat="false" ht="12.8" hidden="false" customHeight="false" outlineLevel="0" collapsed="false"/>
    <row r="1048495" customFormat="false" ht="12.8" hidden="false" customHeight="false" outlineLevel="0" collapsed="false"/>
    <row r="1048496" customFormat="false" ht="12.8" hidden="false" customHeight="false" outlineLevel="0" collapsed="false"/>
    <row r="1048497" customFormat="false" ht="12.8" hidden="false" customHeight="false" outlineLevel="0" collapsed="false"/>
    <row r="1048498" customFormat="false" ht="12.8" hidden="false" customHeight="false" outlineLevel="0" collapsed="false"/>
    <row r="1048499" customFormat="false" ht="12.8" hidden="false" customHeight="false" outlineLevel="0" collapsed="false"/>
    <row r="1048500" customFormat="false" ht="12.8" hidden="false" customHeight="false" outlineLevel="0" collapsed="false"/>
    <row r="1048501" customFormat="false" ht="12.8" hidden="false" customHeight="false" outlineLevel="0" collapsed="false"/>
    <row r="1048502" customFormat="false" ht="12.8" hidden="false" customHeight="false" outlineLevel="0" collapsed="false"/>
    <row r="1048503" customFormat="false" ht="12.8" hidden="false" customHeight="false" outlineLevel="0" collapsed="false"/>
    <row r="1048504" customFormat="false" ht="12.8" hidden="false" customHeight="false" outlineLevel="0" collapsed="false"/>
    <row r="1048505" customFormat="false" ht="12.8" hidden="false" customHeight="false" outlineLevel="0" collapsed="false"/>
    <row r="1048506" customFormat="false" ht="12.8" hidden="false" customHeight="false" outlineLevel="0" collapsed="false"/>
    <row r="1048507" customFormat="false" ht="12.8" hidden="false" customHeight="false" outlineLevel="0" collapsed="false"/>
    <row r="1048508" customFormat="false" ht="12.8" hidden="false" customHeight="false" outlineLevel="0" collapsed="false"/>
    <row r="1048509" customFormat="false" ht="12.8" hidden="false" customHeight="false" outlineLevel="0" collapsed="false"/>
    <row r="1048510" customFormat="false" ht="12.8" hidden="false" customHeight="false" outlineLevel="0" collapsed="false"/>
    <row r="1048511" customFormat="false" ht="12.8" hidden="false" customHeight="false" outlineLevel="0" collapsed="false"/>
    <row r="1048512" customFormat="false" ht="12.8" hidden="false" customHeight="false" outlineLevel="0" collapsed="false"/>
    <row r="1048513" customFormat="false" ht="12.8" hidden="false" customHeight="false" outlineLevel="0" collapsed="false"/>
    <row r="1048514" customFormat="false" ht="12.8" hidden="false" customHeight="false" outlineLevel="0" collapsed="false"/>
    <row r="1048515" customFormat="false" ht="12.8" hidden="false" customHeight="false" outlineLevel="0" collapsed="false"/>
    <row r="1048516" customFormat="false" ht="12.8" hidden="false" customHeight="false" outlineLevel="0" collapsed="false"/>
    <row r="1048517" customFormat="false" ht="12.8" hidden="false" customHeight="false" outlineLevel="0" collapsed="false"/>
    <row r="1048518" customFormat="false" ht="12.8" hidden="false" customHeight="false" outlineLevel="0" collapsed="false"/>
    <row r="1048519" customFormat="false" ht="12.8" hidden="false" customHeight="false" outlineLevel="0" collapsed="false"/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true" verticalCentered="true"/>
  <pageMargins left="0" right="0" top="0" bottom="0" header="0.511811023622047" footer="0.511811023622047"/>
  <pageSetup paperSize="9" scale="12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157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es-AR</dc:language>
  <cp:lastModifiedBy/>
  <dcterms:modified xsi:type="dcterms:W3CDTF">2026-07-23T21:23:49Z</dcterms:modified>
  <cp:revision>28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